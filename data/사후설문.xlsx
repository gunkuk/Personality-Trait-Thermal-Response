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s11\Desktop\1\논문\00_SCI\MBTI\"/>
    </mc:Choice>
  </mc:AlternateContent>
  <xr:revisionPtr revIDLastSave="0" documentId="8_{31B3A953-1933-474C-B2BD-0C37C6E0238B}" xr6:coauthVersionLast="47" xr6:coauthVersionMax="47" xr10:uidLastSave="{00000000-0000-0000-0000-000000000000}"/>
  <bookViews>
    <workbookView xWindow="28680" yWindow="-120" windowWidth="29040" windowHeight="15720" xr2:uid="{BBEFBFF7-5511-44DC-86F7-B81ED8EA4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6" i="1" l="1" a="1"/>
  <c r="Y146" i="1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6" i="1" a="1"/>
  <c r="Y16" i="1" s="1"/>
  <c r="Y17" i="1" a="1"/>
  <c r="Y17" i="1" s="1"/>
  <c r="Y18" i="1" a="1"/>
  <c r="Y18" i="1" s="1"/>
  <c r="Y19" i="1" a="1"/>
  <c r="Y19" i="1" s="1"/>
  <c r="Y20" i="1" a="1"/>
  <c r="Y20" i="1" s="1"/>
  <c r="Y21" i="1" a="1"/>
  <c r="Y21" i="1" s="1"/>
  <c r="Y22" i="1" a="1"/>
  <c r="Y22" i="1" s="1"/>
  <c r="Y23" i="1" a="1"/>
  <c r="Y23" i="1" s="1"/>
  <c r="Y24" i="1" a="1"/>
  <c r="Y24" i="1" s="1"/>
  <c r="Y25" i="1" a="1"/>
  <c r="Y25" i="1"/>
  <c r="Y26" i="1" a="1"/>
  <c r="Y26" i="1"/>
  <c r="Y27" i="1" a="1"/>
  <c r="Y27" i="1" s="1"/>
  <c r="Y28" i="1" a="1"/>
  <c r="Y28" i="1" s="1"/>
  <c r="Y29" i="1" a="1"/>
  <c r="Y29" i="1" s="1"/>
  <c r="Y30" i="1" a="1"/>
  <c r="Y30" i="1" s="1"/>
  <c r="Y31" i="1" a="1"/>
  <c r="Y31" i="1" s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37" i="1" a="1"/>
  <c r="Y37" i="1" s="1"/>
  <c r="Y38" i="1" a="1"/>
  <c r="Y38" i="1" s="1"/>
  <c r="Y39" i="1" a="1"/>
  <c r="Y39" i="1" s="1"/>
  <c r="Y40" i="1" a="1"/>
  <c r="Y40" i="1" s="1"/>
  <c r="Y41" i="1" a="1"/>
  <c r="Y41" i="1" s="1"/>
  <c r="Y42" i="1" a="1"/>
  <c r="Y42" i="1" s="1"/>
  <c r="Y43" i="1" a="1"/>
  <c r="Y43" i="1" s="1"/>
  <c r="Y44" i="1" a="1"/>
  <c r="Y44" i="1"/>
  <c r="Y45" i="1" a="1"/>
  <c r="Y45" i="1" s="1"/>
  <c r="Y46" i="1" a="1"/>
  <c r="Y46" i="1" s="1"/>
  <c r="Y47" i="1" a="1"/>
  <c r="Y47" i="1" s="1"/>
  <c r="Y48" i="1" a="1"/>
  <c r="Y48" i="1" s="1"/>
  <c r="Y49" i="1" a="1"/>
  <c r="Y49" i="1" s="1"/>
  <c r="Y50" i="1" a="1"/>
  <c r="Y50" i="1" s="1"/>
  <c r="Y51" i="1" a="1"/>
  <c r="Y51" i="1" s="1"/>
  <c r="Y52" i="1" a="1"/>
  <c r="Y52" i="1" s="1"/>
  <c r="Y53" i="1" a="1"/>
  <c r="Y53" i="1" s="1"/>
  <c r="Y54" i="1" a="1"/>
  <c r="Y54" i="1" s="1"/>
  <c r="Y55" i="1" a="1"/>
  <c r="Y55" i="1" s="1"/>
  <c r="Y56" i="1" a="1"/>
  <c r="Y56" i="1" s="1"/>
  <c r="Y57" i="1" a="1"/>
  <c r="Y57" i="1" s="1"/>
  <c r="Y58" i="1" a="1"/>
  <c r="Y58" i="1" s="1"/>
  <c r="Y59" i="1" a="1"/>
  <c r="Y59" i="1" s="1"/>
  <c r="Y60" i="1" a="1"/>
  <c r="Y60" i="1" s="1"/>
  <c r="Y61" i="1" a="1"/>
  <c r="Y61" i="1" s="1"/>
  <c r="Y62" i="1" a="1"/>
  <c r="Y62" i="1" s="1"/>
  <c r="Y63" i="1" a="1"/>
  <c r="Y63" i="1" s="1"/>
  <c r="Y64" i="1" a="1"/>
  <c r="Y64" i="1" s="1"/>
  <c r="Y65" i="1" a="1"/>
  <c r="Y65" i="1" s="1"/>
  <c r="Y66" i="1" a="1"/>
  <c r="Y66" i="1" s="1"/>
  <c r="Y67" i="1" a="1"/>
  <c r="Y67" i="1" s="1"/>
  <c r="Y68" i="1" a="1"/>
  <c r="Y68" i="1" s="1"/>
  <c r="Y69" i="1" a="1"/>
  <c r="Y69" i="1" s="1"/>
  <c r="Y70" i="1" a="1"/>
  <c r="Y70" i="1" s="1"/>
  <c r="Y71" i="1" a="1"/>
  <c r="Y71" i="1" s="1"/>
  <c r="Y72" i="1" a="1"/>
  <c r="Y72" i="1" s="1"/>
  <c r="Y73" i="1" a="1"/>
  <c r="Y73" i="1" s="1"/>
  <c r="Y74" i="1" a="1"/>
  <c r="Y74" i="1"/>
  <c r="Y75" i="1" a="1"/>
  <c r="Y75" i="1" s="1"/>
  <c r="Y76" i="1" a="1"/>
  <c r="Y76" i="1" s="1"/>
  <c r="Y77" i="1" a="1"/>
  <c r="Y77" i="1" s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Y84" i="1" a="1"/>
  <c r="Y84" i="1"/>
  <c r="Y85" i="1" a="1"/>
  <c r="Y85" i="1" s="1"/>
  <c r="Y86" i="1" a="1"/>
  <c r="Y86" i="1" s="1"/>
  <c r="Y87" i="1" a="1"/>
  <c r="Y87" i="1" s="1"/>
  <c r="Y88" i="1" a="1"/>
  <c r="Y88" i="1" s="1"/>
  <c r="Y89" i="1" a="1"/>
  <c r="Y89" i="1" s="1"/>
  <c r="Y90" i="1" a="1"/>
  <c r="Y90" i="1" s="1"/>
  <c r="Y91" i="1" a="1"/>
  <c r="Y91" i="1" s="1"/>
  <c r="Y92" i="1" a="1"/>
  <c r="Y92" i="1" s="1"/>
  <c r="Y93" i="1" a="1"/>
  <c r="Y93" i="1" s="1"/>
  <c r="Y94" i="1" a="1"/>
  <c r="Y94" i="1" s="1"/>
  <c r="Y95" i="1" a="1"/>
  <c r="Y95" i="1" s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 s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 s="1"/>
  <c r="Y121" i="1" a="1"/>
  <c r="Y121" i="1" s="1"/>
  <c r="Y122" i="1" a="1"/>
  <c r="Y122" i="1" s="1"/>
  <c r="Y123" i="1" a="1"/>
  <c r="Y123" i="1" s="1"/>
  <c r="Y124" i="1" a="1"/>
  <c r="Y124" i="1" s="1"/>
  <c r="Y125" i="1" a="1"/>
  <c r="Y125" i="1" s="1"/>
  <c r="Y126" i="1" a="1"/>
  <c r="Y126" i="1" s="1"/>
  <c r="Y127" i="1" a="1"/>
  <c r="Y127" i="1" s="1"/>
  <c r="Y128" i="1" a="1"/>
  <c r="Y128" i="1" s="1"/>
  <c r="Y129" i="1" a="1"/>
  <c r="Y129" i="1" s="1"/>
  <c r="Y130" i="1" a="1"/>
  <c r="Y130" i="1" s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 s="1"/>
  <c r="Y145" i="1" a="1"/>
  <c r="Y145" i="1" s="1"/>
  <c r="Y5" i="1" a="1"/>
  <c r="Y5" i="1" s="1"/>
  <c r="Y6" i="1" a="1"/>
  <c r="Y6" i="1" s="1"/>
  <c r="Y2" i="1" a="1"/>
  <c r="Y2" i="1" s="1"/>
  <c r="Y3" i="1" a="1"/>
  <c r="Y3" i="1" s="1"/>
  <c r="Y4" i="1" a="1"/>
  <c r="Y4" i="1" s="1"/>
  <c r="AA2" i="1" l="1" a="1"/>
  <c r="A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<sst xmlns="http://schemas.openxmlformats.org/spreadsheetml/2006/main" count="399" uniqueCount="300">
  <si>
    <t>다음은 실내 전자기기 (조명, 컴퓨터, TV)와 냉난방기를 켜고 끄는 것에 대한 귀하의 생각을 나타낸 것입니다. 귀하의 답변과 가장 일치하는 칸에 표시해 주십시오. [내가 사용하지 않을 때, 전자기기 및 냉난방기가 켜져 있든 꺼져 있든 신경쓰지 않는다. ]</t>
  </si>
  <si>
    <t>다음은 실내 전자기기 (조명, 컴퓨터, TV)와 냉난방기를 켜고 끄는 것에 대한 귀하의 생각을 나타낸 것입니다. 귀하의 답변과 가장 일치하는 칸에 표시해 주십시오. [사용하지 않을 때 전자기기 및 냉난방기를 끄는 것이 내 일상적인 습관이다.]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</si>
  <si>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사용하지 않을 때 끄는 것이 좋아서 그렇게 한다.]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</si>
  <si>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사용하지 않을 때 끄는 것은 합리적인 행동이라고 생각한다.]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</si>
  <si>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그대로 켜 두면 마음이 불편해질 것 같아 끈다.]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</si>
  <si>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꺼 두면 주변 사람들에게 긍정적인 평가를 받을 수 있어서 그렇게 한다.]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</si>
  <si>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사용하지 않을 때 끄는 일은 나에게 중요한 일이다.]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</si>
  <si>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그대로 켜 두면 죄책감이 들 것 같아서 끈다.]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</si>
  <si>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꺼 두면 뿌듯함을 느껴서 그렇게 한다.]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</si>
  <si>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수시로 켰다 껐다 하는 것은 시간 낭비라고 생각한다.]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</si>
  <si>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사용하지 않을 때 끄는 것이 가장 이성적인 선택이라고 생각한다.]</t>
  </si>
  <si>
    <t>다음은 실내 전자기기 (조명, 컴퓨터, TV)와 냉난방기를 켜고 끄는 것에 대한 귀하의 생각을 나타낸 것입니다. 귀하의 답변과 가장 일치하는 칸에 표시해 주십시오. [주변 사람들이 전자기기 및 냉난방기를 끄라고 권하기 때문에 그렇게 한다.]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</si>
  <si>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꺼 두면 기분이 좋아져서 그렇게 한다.]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</si>
  <si>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끄는 일이 귀찮게 느껴질 때가 있다.]</t>
  </si>
  <si>
    <t>다음은 실내 전자기기 (조명, 컴퓨터, TV)와 냉난방기를 켜고 끄는 것에 대한 귀하의 생각을 나타낸 것입니다. 귀하의 답변과 가장 일치하는 칸에 표시해 주십시오. [나는 전자기기 및 냉난방기를 끄는 일을 우선순위에 둔다.]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</si>
  <si>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끄지 않으면 주변 사람들에게 비난받을까 봐 끈다.]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</si>
  <si>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끄지 않으면 기분이 나빠질 것 같아서 끈다.]</t>
  </si>
  <si>
    <t>다음은 실내 전자기기 (조명, 컴퓨터, TV)와 냉난방기를 켜고 끄는 것에 대한 귀하의 생각을 나타낸 것입니다. 귀하의 답변과 가장 일치하는 칸에 표시해 주십시오. [전자기기 및 냉난방기를 끄는 것은 나의 가치관과 부합한다.]</t>
  </si>
  <si>
    <t>최현우 990509</t>
  </si>
  <si>
    <t>박선우 / 20030808</t>
  </si>
  <si>
    <t>정인호 20030708</t>
  </si>
  <si>
    <t>김단아 2001.05.15</t>
  </si>
  <si>
    <t>한수정 / 1996.01.08.</t>
  </si>
  <si>
    <t>최은지, 20020103</t>
  </si>
  <si>
    <t>임세원. 1997.11.29</t>
  </si>
  <si>
    <t>배민준, 030726</t>
  </si>
  <si>
    <t>이석재 2000/05/06</t>
  </si>
  <si>
    <t>전미강/2003.10.12</t>
  </si>
  <si>
    <t>김태균 &lt;2001/12/21&gt;</t>
  </si>
  <si>
    <t>정주원 / 2001.03.31</t>
  </si>
  <si>
    <t>정병민 20010719</t>
  </si>
  <si>
    <t>김성현/ 020916</t>
  </si>
  <si>
    <t>김태협20031125</t>
  </si>
  <si>
    <t>김송현</t>
  </si>
  <si>
    <t>김송현01297428302</t>
  </si>
  <si>
    <t>천재원 20000519</t>
  </si>
  <si>
    <t>2001.04.23</t>
  </si>
  <si>
    <t>정현영 920612</t>
  </si>
  <si>
    <t>조지성 2001.04.23</t>
  </si>
  <si>
    <t>노민채 02.06.29</t>
  </si>
  <si>
    <t>손우진 980330</t>
  </si>
  <si>
    <t>황지선 / 2004.02.20</t>
  </si>
  <si>
    <t>문정윤 020305</t>
  </si>
  <si>
    <t>김륜구 990307</t>
  </si>
  <si>
    <t>이영일 990221</t>
  </si>
  <si>
    <t>신서희/970704</t>
  </si>
  <si>
    <t>이시온 010217</t>
  </si>
  <si>
    <t>홍수지 1995.03.29</t>
  </si>
  <si>
    <t>손정현, 990225</t>
  </si>
  <si>
    <t>김근우/20040118</t>
  </si>
  <si>
    <t>문혁진 981221</t>
  </si>
  <si>
    <t>김혜원 050201</t>
  </si>
  <si>
    <t>김세연 2000.03.25</t>
  </si>
  <si>
    <t>조연주 19961122</t>
  </si>
  <si>
    <t>고현진/ 050426</t>
  </si>
  <si>
    <t>안서진 / 040319</t>
  </si>
  <si>
    <t>민지선 020216</t>
  </si>
  <si>
    <t>김진원 1998.01.22</t>
  </si>
  <si>
    <t>정수현 2003.01.30</t>
  </si>
  <si>
    <t>허가영 20000919</t>
  </si>
  <si>
    <t>최원준 20020108</t>
  </si>
  <si>
    <t>최주형 1999.11.14</t>
  </si>
  <si>
    <t>최휘연 011113</t>
  </si>
  <si>
    <t>조아윤 940123</t>
  </si>
  <si>
    <t>강지수 2001.04.16</t>
  </si>
  <si>
    <t>유연우 951106</t>
  </si>
  <si>
    <t>정현수 000106</t>
  </si>
  <si>
    <t>김연지, 20050702</t>
  </si>
  <si>
    <t>박종수, 2002-02-14</t>
  </si>
  <si>
    <t>선동훈 / 19990622</t>
  </si>
  <si>
    <t>안서현 2002.03.02.</t>
  </si>
  <si>
    <t>황서연 2000.10.02</t>
  </si>
  <si>
    <t>소천호 940913</t>
  </si>
  <si>
    <t>박예리 2002.12.17</t>
  </si>
  <si>
    <t>김건욱 2000.11.28</t>
  </si>
  <si>
    <t>장지은, 2001.05.02</t>
  </si>
  <si>
    <t>장현지 20020203</t>
  </si>
  <si>
    <t>김찬휘 2002.06.05</t>
  </si>
  <si>
    <t>이수정 / 2002.11.15</t>
  </si>
  <si>
    <t>이지예 / 970912</t>
  </si>
  <si>
    <t>이진영 20001020</t>
  </si>
  <si>
    <t>김남우 / 19941119</t>
  </si>
  <si>
    <t>정현우/20000222</t>
  </si>
  <si>
    <t>문지우 2004.01.17</t>
  </si>
  <si>
    <t>문강산 2000.12.23</t>
  </si>
  <si>
    <t>김민혜, 19980311</t>
  </si>
  <si>
    <t>박수현 000513</t>
  </si>
  <si>
    <t>주기경 970201</t>
  </si>
  <si>
    <t>송다빈/920526</t>
  </si>
  <si>
    <t>이채윤 19981017</t>
  </si>
  <si>
    <t>조용승/1996.04.11</t>
  </si>
  <si>
    <t>손단비, 010530</t>
  </si>
  <si>
    <t>이수민, 061204</t>
  </si>
  <si>
    <t>하헌균 030610</t>
  </si>
  <si>
    <t>최재웅, 001212</t>
  </si>
  <si>
    <t>정지수,19970113</t>
  </si>
  <si>
    <t>박민주 20030630</t>
  </si>
  <si>
    <t>장윤환 .001004</t>
  </si>
  <si>
    <t>김종호 050929</t>
  </si>
  <si>
    <t>이지혜 051021</t>
  </si>
  <si>
    <t>선종원/1998.02.28</t>
  </si>
  <si>
    <t>이지원 991026</t>
  </si>
  <si>
    <t>심혜원 2003.03.10</t>
  </si>
  <si>
    <t>양형석, 2002.07.04</t>
  </si>
  <si>
    <t>정겸비 / 020612</t>
  </si>
  <si>
    <t>송다은, 040801</t>
  </si>
  <si>
    <t>양아현, 2001.08.08.</t>
  </si>
  <si>
    <t>강다연 2000/05/31</t>
  </si>
  <si>
    <t>김주헌, 2000년 10월 18일</t>
  </si>
  <si>
    <t>박정필 / 2000.05.02</t>
  </si>
  <si>
    <t>원윤서 041115</t>
  </si>
  <si>
    <t>인희원 021114</t>
  </si>
  <si>
    <t>배건희, 2002/02/07</t>
  </si>
  <si>
    <t>박현수 20031115</t>
  </si>
  <si>
    <t>임서하 96.08.15</t>
  </si>
  <si>
    <t>조윤민 951102</t>
  </si>
  <si>
    <t>송태원 20050607</t>
  </si>
  <si>
    <t>김재원 / 000803</t>
  </si>
  <si>
    <t>문지연 20020916</t>
  </si>
  <si>
    <t>이두현</t>
  </si>
  <si>
    <t>이두현 2001.10.27</t>
  </si>
  <si>
    <t>송원서 1999.05.28</t>
  </si>
  <si>
    <t>신지수 980110</t>
  </si>
  <si>
    <t>채우준 20020916</t>
  </si>
  <si>
    <t>홍주원/19940304</t>
  </si>
  <si>
    <t>이유범 1999.04.08</t>
  </si>
  <si>
    <t>조유빈 050712</t>
  </si>
  <si>
    <t>이혜빈 040804</t>
  </si>
  <si>
    <t>김정민</t>
  </si>
  <si>
    <t>허진수 890720</t>
  </si>
  <si>
    <t>김진호/2001.01.30</t>
  </si>
  <si>
    <t>24,25</t>
  </si>
  <si>
    <t>송은성/ 001130</t>
  </si>
  <si>
    <t>안종백 920912</t>
  </si>
  <si>
    <t>전종률 990612</t>
  </si>
  <si>
    <t>권소현 2001.04.11</t>
  </si>
  <si>
    <t>송상길 960612</t>
  </si>
  <si>
    <t>박가람/2005.04.11</t>
  </si>
  <si>
    <t>기창근 / 2000.09.05</t>
  </si>
  <si>
    <t>차민아</t>
  </si>
  <si>
    <t>박태원 / 2000.09.17</t>
  </si>
  <si>
    <t>냉난방기를 사용할 때, 빠르게 온열 쾌적감을 느끼기 위해 원하는 온보다 더 높거나 낮게 온를 설정하시나요?</t>
  </si>
  <si>
    <t>평소 에어컨을 사용할 때, 항상 습관적으로 설정하는 온가 있다면 몇 인지 작성해주세요. (습관적으로 설정하는 온가 없을 경우, "N/A")</t>
  </si>
  <si>
    <t>평소 난방기를 사용할 때, 항상 습관적으로 설정하는 온가 있다면 몇 인지 작성해주세요. (습관적으로 설정하는 온가 없을 경우, "N/A")</t>
  </si>
  <si>
    <t>N/A</t>
  </si>
  <si>
    <t>N/A</t>
    <phoneticPr fontId="4" type="noConversion"/>
  </si>
  <si>
    <t xml:space="preserve"> N/A</t>
    <phoneticPr fontId="4" type="noConversion"/>
  </si>
  <si>
    <r>
      <rPr>
        <sz val="10"/>
        <color rgb="FF434343"/>
        <rFont val="Noto Sans KR"/>
        <family val="2"/>
        <charset val="129"/>
      </rPr>
      <t>박서윤</t>
    </r>
    <r>
      <rPr>
        <sz val="10"/>
        <color rgb="FF434343"/>
        <rFont val="Roboto"/>
      </rPr>
      <t>/2004</t>
    </r>
    <r>
      <rPr>
        <sz val="10"/>
        <color rgb="FF434343"/>
        <rFont val="Noto Sans KR"/>
        <family val="2"/>
        <charset val="129"/>
      </rPr>
      <t>년</t>
    </r>
    <r>
      <rPr>
        <sz val="10"/>
        <color rgb="FF434343"/>
        <rFont val="Roboto"/>
      </rPr>
      <t xml:space="preserve"> 10</t>
    </r>
    <r>
      <rPr>
        <sz val="10"/>
        <color rgb="FF434343"/>
        <rFont val="Noto Sans KR"/>
        <family val="2"/>
        <charset val="129"/>
      </rPr>
      <t>월</t>
    </r>
    <r>
      <rPr>
        <sz val="10"/>
        <color rgb="FF434343"/>
        <rFont val="Roboto"/>
      </rPr>
      <t xml:space="preserve"> 6</t>
    </r>
    <r>
      <rPr>
        <sz val="10"/>
        <color rgb="FF434343"/>
        <rFont val="Noto Sans KR"/>
        <family val="2"/>
        <charset val="129"/>
      </rPr>
      <t>일</t>
    </r>
    <phoneticPr fontId="4" type="noConversion"/>
  </si>
  <si>
    <r>
      <rPr>
        <sz val="10"/>
        <color rgb="FF434343"/>
        <rFont val="Noto Sans KR"/>
        <family val="2"/>
        <charset val="129"/>
      </rPr>
      <t>강성택</t>
    </r>
    <r>
      <rPr>
        <sz val="10"/>
        <color rgb="FF434343"/>
        <rFont val="Roboto"/>
      </rPr>
      <t xml:space="preserve"> 970808</t>
    </r>
    <phoneticPr fontId="4" type="noConversion"/>
  </si>
  <si>
    <r>
      <rPr>
        <sz val="10"/>
        <color rgb="FF434343"/>
        <rFont val="Noto Sans KR"/>
        <family val="2"/>
        <charset val="129"/>
      </rPr>
      <t>송지나</t>
    </r>
    <r>
      <rPr>
        <sz val="10"/>
        <color rgb="FF434343"/>
        <rFont val="Roboto"/>
      </rPr>
      <t>, 991203</t>
    </r>
    <phoneticPr fontId="4" type="noConversion"/>
  </si>
  <si>
    <r>
      <rPr>
        <sz val="10"/>
        <color rgb="FF434343"/>
        <rFont val="Noto Sans KR"/>
        <family val="2"/>
        <charset val="129"/>
      </rPr>
      <t>심은서</t>
    </r>
    <r>
      <rPr>
        <sz val="10"/>
        <color rgb="FF434343"/>
        <rFont val="Roboto"/>
      </rPr>
      <t xml:space="preserve"> 2002.05.08</t>
    </r>
    <phoneticPr fontId="4" type="noConversion"/>
  </si>
  <si>
    <r>
      <rPr>
        <sz val="10"/>
        <color rgb="FF434343"/>
        <rFont val="Noto Sans KR"/>
        <family val="2"/>
        <charset val="129"/>
      </rPr>
      <t>이수연</t>
    </r>
    <r>
      <rPr>
        <sz val="10"/>
        <color rgb="FF434343"/>
        <rFont val="Roboto"/>
      </rPr>
      <t>, 960813</t>
    </r>
    <phoneticPr fontId="4" type="noConversion"/>
  </si>
  <si>
    <r>
      <rPr>
        <sz val="10"/>
        <color rgb="FF434343"/>
        <rFont val="Noto Sans KR"/>
        <family val="2"/>
        <charset val="129"/>
      </rPr>
      <t>김효진</t>
    </r>
    <r>
      <rPr>
        <sz val="10"/>
        <color rgb="FF434343"/>
        <rFont val="Roboto"/>
      </rPr>
      <t xml:space="preserve"> 980130</t>
    </r>
    <phoneticPr fontId="4" type="noConversion"/>
  </si>
  <si>
    <r>
      <rPr>
        <sz val="10"/>
        <color rgb="FF434343"/>
        <rFont val="Noto Sans KR"/>
        <family val="2"/>
        <charset val="129"/>
      </rPr>
      <t>김무빈</t>
    </r>
    <r>
      <rPr>
        <sz val="10"/>
        <color rgb="FF434343"/>
        <rFont val="Roboto"/>
      </rPr>
      <t>/001101</t>
    </r>
    <phoneticPr fontId="4" type="noConversion"/>
  </si>
  <si>
    <r>
      <rPr>
        <sz val="10"/>
        <color rgb="FF434343"/>
        <rFont val="Noto Sans KR"/>
        <family val="2"/>
        <charset val="129"/>
      </rPr>
      <t>김원</t>
    </r>
    <r>
      <rPr>
        <sz val="10"/>
        <color rgb="FF434343"/>
        <rFont val="Roboto"/>
      </rPr>
      <t xml:space="preserve"> 20001125</t>
    </r>
    <phoneticPr fontId="4" type="noConversion"/>
  </si>
  <si>
    <r>
      <rPr>
        <sz val="10"/>
        <color rgb="FF434343"/>
        <rFont val="Noto Sans KR"/>
        <family val="2"/>
        <charset val="129"/>
      </rPr>
      <t>최윤서</t>
    </r>
    <r>
      <rPr>
        <sz val="10"/>
        <color rgb="FF434343"/>
        <rFont val="Roboto"/>
      </rPr>
      <t xml:space="preserve"> 2003.04.04</t>
    </r>
    <phoneticPr fontId="4" type="noConversion"/>
  </si>
  <si>
    <t>연번</t>
  </si>
  <si>
    <t>손정현</t>
  </si>
  <si>
    <t>정현우</t>
  </si>
  <si>
    <t>송태원</t>
  </si>
  <si>
    <t>김진호</t>
  </si>
  <si>
    <t>이수민</t>
  </si>
  <si>
    <t>문지연</t>
  </si>
  <si>
    <t>권소현</t>
  </si>
  <si>
    <t>문혁진</t>
  </si>
  <si>
    <t>이진영</t>
  </si>
  <si>
    <t>김재원</t>
  </si>
  <si>
    <t>박서윤</t>
  </si>
  <si>
    <t>신서희</t>
  </si>
  <si>
    <t>이윤재</t>
  </si>
  <si>
    <t>원윤서</t>
  </si>
  <si>
    <t>신지수</t>
  </si>
  <si>
    <t>배민준</t>
  </si>
  <si>
    <t>문강산</t>
  </si>
  <si>
    <t>강성택</t>
  </si>
  <si>
    <t>황지선</t>
  </si>
  <si>
    <t>홍수지</t>
  </si>
  <si>
    <t>김민혜</t>
  </si>
  <si>
    <t>송지나</t>
  </si>
  <si>
    <t>김종호</t>
  </si>
  <si>
    <t>김찬휘</t>
  </si>
  <si>
    <t>유연우</t>
  </si>
  <si>
    <t>허진수</t>
  </si>
  <si>
    <t>심은서</t>
  </si>
  <si>
    <t>주기경</t>
  </si>
  <si>
    <t>이수연</t>
  </si>
  <si>
    <t>김효진</t>
  </si>
  <si>
    <t>최재웅</t>
  </si>
  <si>
    <t>김근우</t>
  </si>
  <si>
    <t>김무빈</t>
  </si>
  <si>
    <t>김원</t>
  </si>
  <si>
    <t>최윤서</t>
  </si>
  <si>
    <t>박수현</t>
  </si>
  <si>
    <t>안서현</t>
  </si>
  <si>
    <t>김연지</t>
  </si>
  <si>
    <t>송상길</t>
  </si>
  <si>
    <t>문지우</t>
  </si>
  <si>
    <t>박종수</t>
  </si>
  <si>
    <t>장현지</t>
  </si>
  <si>
    <t>강지수</t>
  </si>
  <si>
    <t>김세연</t>
  </si>
  <si>
    <t>정현수</t>
  </si>
  <si>
    <t>선동훈</t>
  </si>
  <si>
    <t>최주형</t>
  </si>
  <si>
    <t>송원서</t>
  </si>
  <si>
    <t>안서진</t>
  </si>
  <si>
    <t>민지선</t>
  </si>
  <si>
    <t>정수현</t>
  </si>
  <si>
    <t>조유빈</t>
  </si>
  <si>
    <t>최원준</t>
  </si>
  <si>
    <t>김진원</t>
  </si>
  <si>
    <t>홍주원</t>
  </si>
  <si>
    <t>천재원</t>
  </si>
  <si>
    <t>조연주</t>
  </si>
  <si>
    <t>조희운</t>
  </si>
  <si>
    <t>김태협</t>
  </si>
  <si>
    <t>김태균</t>
  </si>
  <si>
    <t>장윤환</t>
  </si>
  <si>
    <t>이유범</t>
  </si>
  <si>
    <t>한수정</t>
  </si>
  <si>
    <t>인희원</t>
  </si>
  <si>
    <t>배건희</t>
  </si>
  <si>
    <t>송은성</t>
  </si>
  <si>
    <t>이석재</t>
  </si>
  <si>
    <t>박선우</t>
  </si>
  <si>
    <t>문정윤</t>
  </si>
  <si>
    <t>이지혜</t>
  </si>
  <si>
    <t>김혜원</t>
  </si>
  <si>
    <t>박정필</t>
  </si>
  <si>
    <t>김남우</t>
  </si>
  <si>
    <t>최성환</t>
  </si>
  <si>
    <t>이시온</t>
  </si>
  <si>
    <t>박예리</t>
  </si>
  <si>
    <t>이수정</t>
  </si>
  <si>
    <t>정인호</t>
  </si>
  <si>
    <t>정현영</t>
  </si>
  <si>
    <t>하헌균</t>
  </si>
  <si>
    <t>이혜빈</t>
  </si>
  <si>
    <t>구수현</t>
  </si>
  <si>
    <t>허가영</t>
  </si>
  <si>
    <t>박가람</t>
  </si>
  <si>
    <t>임세원</t>
  </si>
  <si>
    <t>박현수</t>
  </si>
  <si>
    <t>선종원</t>
  </si>
  <si>
    <t>채우준</t>
  </si>
  <si>
    <t>송다은</t>
  </si>
  <si>
    <t>양아현</t>
  </si>
  <si>
    <t>손단비</t>
  </si>
  <si>
    <t>조윤민</t>
  </si>
  <si>
    <t>조지성</t>
  </si>
  <si>
    <t>김건욱</t>
  </si>
  <si>
    <t>송다빈</t>
  </si>
  <si>
    <t>전미강</t>
  </si>
  <si>
    <t>박민주</t>
  </si>
  <si>
    <t>고현진</t>
  </si>
  <si>
    <t>기창근</t>
  </si>
  <si>
    <t>양형석</t>
  </si>
  <si>
    <t>조용승</t>
  </si>
  <si>
    <t>강다연</t>
  </si>
  <si>
    <t>정지수</t>
  </si>
  <si>
    <t>이지예</t>
  </si>
  <si>
    <t>조아윤</t>
  </si>
  <si>
    <t>김주헌</t>
  </si>
  <si>
    <t>안종백</t>
  </si>
  <si>
    <t>전종률</t>
  </si>
  <si>
    <t>박태원</t>
  </si>
  <si>
    <t>정겸비</t>
  </si>
  <si>
    <t>심혜원</t>
  </si>
  <si>
    <t>최휘연</t>
  </si>
  <si>
    <t>장지은</t>
  </si>
  <si>
    <t>이름</t>
    <phoneticPr fontId="4" type="noConversion"/>
  </si>
  <si>
    <t>박시현 0408</t>
    <phoneticPr fontId="4" type="noConversion"/>
  </si>
  <si>
    <r>
      <rPr>
        <sz val="10"/>
        <color theme="1"/>
        <rFont val="Noto Sans KR"/>
        <family val="2"/>
        <charset val="129"/>
      </rPr>
      <t>박시현</t>
    </r>
    <r>
      <rPr>
        <sz val="10"/>
        <color theme="1"/>
        <rFont val="Arial"/>
        <family val="2"/>
      </rPr>
      <t xml:space="preserve"> 0311</t>
    </r>
    <phoneticPr fontId="4" type="noConversion"/>
  </si>
  <si>
    <r>
      <rPr>
        <sz val="10"/>
        <color theme="1"/>
        <rFont val="Noto Sans KR"/>
        <family val="2"/>
        <charset val="129"/>
      </rPr>
      <t>박시현</t>
    </r>
    <r>
      <rPr>
        <sz val="10"/>
        <color theme="1"/>
        <rFont val="맑은 고딕"/>
        <family val="2"/>
        <charset val="129"/>
      </rPr>
      <t xml:space="preserve"> 0409</t>
    </r>
    <phoneticPr fontId="4" type="noConversion"/>
  </si>
  <si>
    <r>
      <t>(</t>
    </r>
    <r>
      <rPr>
        <b/>
        <sz val="10"/>
        <color rgb="FFFFFFFF"/>
        <rFont val="Noto Sans KR"/>
        <family val="2"/>
        <charset val="129"/>
      </rPr>
      <t>개인확인용</t>
    </r>
    <r>
      <rPr>
        <b/>
        <sz val="10"/>
        <color rgb="FFFFFFFF"/>
        <rFont val="Roboto"/>
      </rPr>
      <t xml:space="preserve">) </t>
    </r>
    <r>
      <rPr>
        <b/>
        <sz val="10"/>
        <color rgb="FFFFFFFF"/>
        <rFont val="Noto Sans KR"/>
        <family val="2"/>
        <charset val="129"/>
      </rPr>
      <t>성함</t>
    </r>
    <r>
      <rPr>
        <b/>
        <sz val="10"/>
        <color rgb="FFFFFFFF"/>
        <rFont val="Roboto"/>
      </rPr>
      <t xml:space="preserve"> </t>
    </r>
    <r>
      <rPr>
        <b/>
        <sz val="10"/>
        <color rgb="FFFFFFFF"/>
        <rFont val="Noto Sans KR"/>
        <family val="2"/>
        <charset val="129"/>
      </rPr>
      <t>및</t>
    </r>
    <r>
      <rPr>
        <b/>
        <sz val="10"/>
        <color rgb="FFFFFFFF"/>
        <rFont val="Roboto"/>
      </rPr>
      <t xml:space="preserve"> </t>
    </r>
    <r>
      <rPr>
        <b/>
        <sz val="10"/>
        <color rgb="FFFFFFFF"/>
        <rFont val="Noto Sans KR"/>
        <family val="2"/>
        <charset val="129"/>
      </rPr>
      <t>생년월일</t>
    </r>
    <phoneticPr fontId="4" type="noConversion"/>
  </si>
  <si>
    <r>
      <rPr>
        <sz val="10"/>
        <color rgb="FF434343"/>
        <rFont val="Noto Sans KR"/>
        <family val="2"/>
        <charset val="129"/>
      </rPr>
      <t>박시현</t>
    </r>
    <r>
      <rPr>
        <sz val="10"/>
        <color rgb="FF434343"/>
        <rFont val="맑은 고딕"/>
        <family val="2"/>
        <charset val="129"/>
      </rPr>
      <t xml:space="preserve"> </t>
    </r>
    <r>
      <rPr>
        <sz val="10"/>
        <color rgb="FF434343"/>
        <rFont val="Roboto"/>
      </rPr>
      <t>0409</t>
    </r>
    <phoneticPr fontId="4" type="noConversion"/>
  </si>
  <si>
    <r>
      <rPr>
        <sz val="10"/>
        <color rgb="FF434343"/>
        <rFont val="Noto Sans KR"/>
        <family val="2"/>
        <charset val="129"/>
      </rPr>
      <t>박시현</t>
    </r>
    <r>
      <rPr>
        <sz val="10"/>
        <color rgb="FF434343"/>
        <rFont val="Roboto"/>
      </rPr>
      <t xml:space="preserve"> 0408</t>
    </r>
    <phoneticPr fontId="4" type="noConversion"/>
  </si>
  <si>
    <r>
      <rPr>
        <sz val="10"/>
        <color rgb="FF434343"/>
        <rFont val="Noto Sans KR"/>
        <family val="2"/>
        <charset val="129"/>
      </rPr>
      <t>구수현</t>
    </r>
    <r>
      <rPr>
        <sz val="10"/>
        <color rgb="FF434343"/>
        <rFont val="Roboto"/>
      </rPr>
      <t xml:space="preserve"> 2005/02/28</t>
    </r>
    <phoneticPr fontId="4" type="noConversion"/>
  </si>
  <si>
    <r>
      <rPr>
        <sz val="10"/>
        <color rgb="FF434343"/>
        <rFont val="Noto Sans KR"/>
        <family val="2"/>
        <charset val="129"/>
      </rPr>
      <t>박시현</t>
    </r>
    <r>
      <rPr>
        <sz val="10"/>
        <color rgb="FF434343"/>
        <rFont val="Roboto"/>
      </rPr>
      <t xml:space="preserve"> 0311</t>
    </r>
    <phoneticPr fontId="4" type="noConversion"/>
  </si>
  <si>
    <t>f</t>
    <phoneticPr fontId="4" type="noConversion"/>
  </si>
  <si>
    <t>최현우</t>
    <phoneticPr fontId="4" type="noConversion"/>
  </si>
  <si>
    <t>김은성 평균</t>
    <phoneticPr fontId="4" type="noConversion"/>
  </si>
  <si>
    <t>김현하 평균</t>
    <phoneticPr fontId="4" type="noConversion"/>
  </si>
  <si>
    <t>양동재</t>
    <phoneticPr fontId="4" type="noConversion"/>
  </si>
  <si>
    <t>최성환 평균</t>
  </si>
  <si>
    <t>박태하 평균</t>
  </si>
  <si>
    <t>박태하 평균</t>
    <phoneticPr fontId="4" type="noConversion"/>
  </si>
  <si>
    <t xml:space="preserve">김동현 </t>
    <phoneticPr fontId="4" type="noConversion"/>
  </si>
  <si>
    <t>박상준 0604</t>
    <phoneticPr fontId="4" type="noConversion"/>
  </si>
  <si>
    <t>박상준 0101</t>
    <phoneticPr fontId="4" type="noConversion"/>
  </si>
  <si>
    <r>
      <rPr>
        <sz val="10"/>
        <color rgb="FF434343"/>
        <rFont val="Noto Sans KR"/>
        <family val="2"/>
        <charset val="129"/>
      </rPr>
      <t xml:space="preserve">박상준 </t>
    </r>
    <r>
      <rPr>
        <sz val="10"/>
        <color rgb="FF434343"/>
        <rFont val="Roboto"/>
      </rPr>
      <t>0604</t>
    </r>
    <phoneticPr fontId="4" type="noConversion"/>
  </si>
  <si>
    <r>
      <rPr>
        <sz val="10"/>
        <color rgb="FF434343"/>
        <rFont val="Noto Sans KR"/>
        <family val="2"/>
        <charset val="129"/>
      </rPr>
      <t>박상준 0</t>
    </r>
    <r>
      <rPr>
        <sz val="10"/>
        <color rgb="FF434343"/>
        <rFont val="Roboto"/>
      </rPr>
      <t>101</t>
    </r>
    <phoneticPr fontId="4" type="noConversion"/>
  </si>
  <si>
    <r>
      <rPr>
        <sz val="10"/>
        <color rgb="FF434343"/>
        <rFont val="맑은 고딕"/>
        <family val="2"/>
        <charset val="129"/>
      </rPr>
      <t>양동재</t>
    </r>
    <r>
      <rPr>
        <sz val="10"/>
        <color rgb="FF434343"/>
        <rFont val="Roboto"/>
      </rPr>
      <t xml:space="preserve"> missing</t>
    </r>
    <r>
      <rPr>
        <sz val="10"/>
        <color rgb="FF434343"/>
        <rFont val="Roboto"/>
        <family val="2"/>
        <charset val="129"/>
      </rPr>
      <t xml:space="preserve"> 19990102</t>
    </r>
    <phoneticPr fontId="4" type="noConversion"/>
  </si>
  <si>
    <t>김동현 missing 20021209</t>
    <phoneticPr fontId="4" type="noConversion"/>
  </si>
  <si>
    <t>이윤재 missing 20000625</t>
    <phoneticPr fontId="4" type="noConversion"/>
  </si>
  <si>
    <t>조희운 missing 19970822</t>
    <phoneticPr fontId="4" type="noConversion"/>
  </si>
  <si>
    <t>010-5955-2312</t>
  </si>
  <si>
    <t>010-9396-2253</t>
  </si>
  <si>
    <t>010-7142-1916</t>
    <phoneticPr fontId="4" type="noConversion"/>
  </si>
  <si>
    <t>010-4725-9703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</si>
</sst>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b/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8"/>
      <name val="맑은 고딕"/>
      <family val="2"/>
      <charset val="129"/>
      <scheme val="minor"/>
    </font>
    <font>
      <sz val="10"/>
      <color rgb="FF434343"/>
      <name val="Noto Sans KR"/>
      <family val="2"/>
      <charset val="129"/>
    </font>
    <font>
      <sz val="10"/>
      <color rgb="FF434343"/>
      <name val="Roboto"/>
      <family val="2"/>
      <charset val="129"/>
    </font>
    <font>
      <sz val="11"/>
      <color theme="1"/>
      <name val="Arial"/>
      <family val="2"/>
    </font>
    <font>
      <sz val="10"/>
      <color theme="1"/>
      <name val="Noto Sans KR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b/>
      <sz val="10"/>
      <color rgb="FFFFFFFF"/>
      <name val="Noto Sans KR"/>
      <family val="2"/>
      <charset val="129"/>
    </font>
    <font>
      <sz val="10"/>
      <color rgb="FF434343"/>
      <name val="맑은 고딕"/>
      <family val="2"/>
      <charset val="129"/>
    </font>
    <font>
      <sz val="10"/>
      <color rgb="FF43434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3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right" vertical="center" wrapText="1"/>
    </xf>
    <xf numFmtId="0" fontId="3" fillId="3" borderId="14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wrapText="1"/>
    </xf>
    <xf numFmtId="0" fontId="9" fillId="0" borderId="6" xfId="0" applyFont="1" applyBorder="1" applyAlignment="1">
      <alignment wrapText="1"/>
    </xf>
    <xf numFmtId="0" fontId="8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3" fillId="8" borderId="7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horizontal="center" wrapText="1"/>
    </xf>
    <xf numFmtId="0" fontId="3" fillId="4" borderId="16" xfId="0" applyFont="1" applyFill="1" applyBorder="1" applyAlignment="1">
      <alignment vertical="center" wrapText="1"/>
    </xf>
    <xf numFmtId="0" fontId="5" fillId="9" borderId="16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horizontal="center" wrapText="1"/>
    </xf>
    <xf numFmtId="0" fontId="6" fillId="8" borderId="17" xfId="0" applyFont="1" applyFill="1" applyBorder="1" applyAlignment="1">
      <alignment vertical="center" wrapText="1"/>
    </xf>
    <xf numFmtId="0" fontId="0" fillId="8" borderId="0" xfId="0" applyFill="1">
      <alignment vertical="center"/>
    </xf>
    <xf numFmtId="0" fontId="1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ECAF-1D28-443A-A268-7922D847CE39}">
  <dimension ref="A1:AV1001"/>
  <sheetViews>
    <sheetView tabSelected="1" topLeftCell="A70" workbookViewId="0">
      <selection activeCell="B63" sqref="B63"/>
    </sheetView>
  </sheetViews>
  <sheetFormatPr defaultRowHeight="16.5" x14ac:dyDescent="0.3"/>
  <cols>
    <col min="3" max="3" width="9.875" bestFit="1" customWidth="1"/>
    <col min="6" max="6" width="16.375" customWidth="1"/>
  </cols>
  <sheetData>
    <row r="1" spans="1:48" ht="281.25" thickBot="1" x14ac:dyDescent="0.4">
      <c r="A1" s="25" t="s">
        <v>156</v>
      </c>
      <c r="B1" s="32" t="s">
        <v>270</v>
      </c>
      <c r="C1" s="1" t="s">
        <v>274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142</v>
      </c>
      <c r="W1" s="1" t="s">
        <v>143</v>
      </c>
      <c r="X1" s="2" t="s">
        <v>141</v>
      </c>
      <c r="Y1" s="3"/>
      <c r="Z1" s="3"/>
      <c r="AA1" s="3"/>
      <c r="AB1" s="3"/>
      <c r="AC1" s="3"/>
      <c r="AD1" s="3"/>
    </row>
    <row r="2" spans="1:48" ht="27" thickBot="1" x14ac:dyDescent="0.3">
      <c r="A2" s="25">
        <v>1</v>
      </c>
      <c r="B2" s="25" t="s">
        <v>157</v>
      </c>
      <c r="C2" s="4" t="s">
        <v>18</v>
      </c>
      <c r="D2" s="4">
        <v>-1</v>
      </c>
      <c r="E2" s="4">
        <v>1</v>
      </c>
      <c r="F2" s="4">
        <v>1</v>
      </c>
      <c r="G2" s="4">
        <v>1</v>
      </c>
      <c r="H2" s="4">
        <v>1</v>
      </c>
      <c r="I2" s="4">
        <v>-1</v>
      </c>
      <c r="J2" s="4">
        <v>0</v>
      </c>
      <c r="K2" s="4">
        <v>0</v>
      </c>
      <c r="L2" s="4">
        <v>-1</v>
      </c>
      <c r="M2" s="4">
        <v>0</v>
      </c>
      <c r="N2" s="4">
        <v>1</v>
      </c>
      <c r="O2" s="4">
        <v>0</v>
      </c>
      <c r="P2" s="4">
        <v>-1</v>
      </c>
      <c r="Q2" s="4">
        <v>0</v>
      </c>
      <c r="R2" s="4">
        <v>-1</v>
      </c>
      <c r="S2" s="4">
        <v>-1</v>
      </c>
      <c r="T2" s="4">
        <v>-1</v>
      </c>
      <c r="U2" s="4">
        <v>0</v>
      </c>
      <c r="V2" s="5">
        <v>24</v>
      </c>
      <c r="W2" s="4" t="s">
        <v>144</v>
      </c>
      <c r="X2" s="6">
        <v>1</v>
      </c>
      <c r="Y2" s="31" cm="1">
        <f t="array" ref="Y2">IFERROR(_xlfn.XMATCH(TRUE, ISNUMBER(SEARCH($B$2:$B$201, C2))), 9999)</f>
        <v>73</v>
      </c>
      <c r="Z2" s="7"/>
      <c r="AA2" s="7" t="str" cm="1">
        <f t="array" ref="AA2:AV201">_xlfn.SORTBY(C2:X201, Y2:Y201, 1)</f>
        <v>손정현, 990225</v>
      </c>
      <c r="AB2" s="7">
        <v>-2</v>
      </c>
      <c r="AC2" s="7">
        <v>2</v>
      </c>
      <c r="AD2" s="7">
        <v>2</v>
      </c>
      <c r="AE2">
        <v>2</v>
      </c>
      <c r="AF2">
        <v>2</v>
      </c>
      <c r="AG2">
        <v>-2</v>
      </c>
      <c r="AH2">
        <v>2</v>
      </c>
      <c r="AI2">
        <v>2</v>
      </c>
      <c r="AJ2">
        <v>1</v>
      </c>
      <c r="AK2">
        <v>-2</v>
      </c>
      <c r="AL2">
        <v>2</v>
      </c>
      <c r="AM2">
        <v>-2</v>
      </c>
      <c r="AN2">
        <v>1</v>
      </c>
      <c r="AO2">
        <v>-1</v>
      </c>
      <c r="AP2">
        <v>2</v>
      </c>
      <c r="AQ2">
        <v>-2</v>
      </c>
      <c r="AR2">
        <v>-1</v>
      </c>
      <c r="AS2">
        <v>2</v>
      </c>
      <c r="AT2">
        <v>24</v>
      </c>
      <c r="AU2" t="str">
        <v>N/A</v>
      </c>
      <c r="AV2">
        <v>1</v>
      </c>
    </row>
    <row r="3" spans="1:48" ht="39.75" thickBot="1" x14ac:dyDescent="0.3">
      <c r="A3" s="25">
        <v>2</v>
      </c>
      <c r="B3" s="25" t="s">
        <v>158</v>
      </c>
      <c r="C3" s="8" t="s">
        <v>19</v>
      </c>
      <c r="D3" s="8">
        <v>-1</v>
      </c>
      <c r="E3" s="8">
        <v>2</v>
      </c>
      <c r="F3" s="8">
        <v>1</v>
      </c>
      <c r="G3" s="8">
        <v>1</v>
      </c>
      <c r="H3" s="8">
        <v>0</v>
      </c>
      <c r="I3" s="8">
        <v>-1</v>
      </c>
      <c r="J3" s="8">
        <v>0</v>
      </c>
      <c r="K3" s="8">
        <v>-1</v>
      </c>
      <c r="L3" s="8">
        <v>1</v>
      </c>
      <c r="M3" s="8">
        <v>-1</v>
      </c>
      <c r="N3" s="8">
        <v>1</v>
      </c>
      <c r="O3" s="8">
        <v>-1</v>
      </c>
      <c r="P3" s="8">
        <v>-1</v>
      </c>
      <c r="Q3" s="8">
        <v>0</v>
      </c>
      <c r="R3" s="8">
        <v>0</v>
      </c>
      <c r="S3" s="8">
        <v>-1</v>
      </c>
      <c r="T3" s="8">
        <v>-1</v>
      </c>
      <c r="U3" s="8">
        <v>0</v>
      </c>
      <c r="V3" s="9">
        <v>26</v>
      </c>
      <c r="W3" s="8" t="s">
        <v>144</v>
      </c>
      <c r="X3" s="10">
        <v>1</v>
      </c>
      <c r="Y3" s="31" cm="1">
        <f t="array" ref="Y3">IFERROR(_xlfn.XMATCH(TRUE, ISNUMBER(SEARCH($B$2:$B$201, C3))), 9999)</f>
        <v>77</v>
      </c>
      <c r="Z3" s="7"/>
      <c r="AA3" s="7" t="str">
        <v>정현우/20000222</v>
      </c>
      <c r="AB3" s="7">
        <v>0</v>
      </c>
      <c r="AC3" s="7">
        <v>-1</v>
      </c>
      <c r="AD3" s="7">
        <v>-1</v>
      </c>
      <c r="AE3">
        <v>1</v>
      </c>
      <c r="AF3">
        <v>-1</v>
      </c>
      <c r="AG3">
        <v>-2</v>
      </c>
      <c r="AH3">
        <v>-1</v>
      </c>
      <c r="AI3">
        <v>-1</v>
      </c>
      <c r="AJ3">
        <v>-2</v>
      </c>
      <c r="AK3">
        <v>0</v>
      </c>
      <c r="AL3">
        <v>1</v>
      </c>
      <c r="AM3">
        <v>-1</v>
      </c>
      <c r="AN3">
        <v>-1</v>
      </c>
      <c r="AO3">
        <v>1</v>
      </c>
      <c r="AP3">
        <v>-1</v>
      </c>
      <c r="AQ3">
        <v>-1</v>
      </c>
      <c r="AR3">
        <v>-1</v>
      </c>
      <c r="AS3">
        <v>-1</v>
      </c>
      <c r="AT3">
        <v>23</v>
      </c>
      <c r="AU3">
        <v>25</v>
      </c>
      <c r="AV3">
        <v>1</v>
      </c>
    </row>
    <row r="4" spans="1:48" ht="27" thickBot="1" x14ac:dyDescent="0.3">
      <c r="A4" s="25">
        <v>3</v>
      </c>
      <c r="B4" s="25" t="s">
        <v>159</v>
      </c>
      <c r="C4" s="11" t="s">
        <v>20</v>
      </c>
      <c r="D4" s="4">
        <v>1</v>
      </c>
      <c r="E4" s="4">
        <v>1</v>
      </c>
      <c r="F4" s="4">
        <v>1</v>
      </c>
      <c r="G4" s="4">
        <v>1</v>
      </c>
      <c r="H4" s="4">
        <v>-1</v>
      </c>
      <c r="I4" s="4">
        <v>-1</v>
      </c>
      <c r="J4" s="4">
        <v>0</v>
      </c>
      <c r="K4" s="4">
        <v>1</v>
      </c>
      <c r="L4" s="4">
        <v>-1</v>
      </c>
      <c r="M4" s="4">
        <v>-2</v>
      </c>
      <c r="N4" s="4">
        <v>1</v>
      </c>
      <c r="O4" s="4">
        <v>1</v>
      </c>
      <c r="P4" s="4">
        <v>-1</v>
      </c>
      <c r="Q4" s="4">
        <v>1</v>
      </c>
      <c r="R4" s="4">
        <v>0</v>
      </c>
      <c r="S4" s="4">
        <v>1</v>
      </c>
      <c r="T4" s="4">
        <v>-1</v>
      </c>
      <c r="U4" s="4">
        <v>0</v>
      </c>
      <c r="V4" s="5">
        <v>24</v>
      </c>
      <c r="W4" s="5">
        <v>24</v>
      </c>
      <c r="X4" s="6">
        <v>-1</v>
      </c>
      <c r="Y4" s="31" cm="1">
        <f t="array" ref="Y4">IFERROR(_xlfn.XMATCH(TRUE, ISNUMBER(SEARCH($B$2:$B$201, C4))), 9999)</f>
        <v>89</v>
      </c>
      <c r="Z4" s="7"/>
      <c r="AA4" s="7" t="str">
        <v>송태원 20050607</v>
      </c>
      <c r="AB4" s="7">
        <v>-1</v>
      </c>
      <c r="AC4" s="7">
        <v>1</v>
      </c>
      <c r="AD4" s="7">
        <v>1</v>
      </c>
      <c r="AE4">
        <v>1</v>
      </c>
      <c r="AF4">
        <v>1</v>
      </c>
      <c r="AG4">
        <v>-1</v>
      </c>
      <c r="AH4">
        <v>0</v>
      </c>
      <c r="AI4">
        <v>0</v>
      </c>
      <c r="AJ4">
        <v>-1</v>
      </c>
      <c r="AK4">
        <v>-1</v>
      </c>
      <c r="AL4">
        <v>1</v>
      </c>
      <c r="AM4">
        <v>-1</v>
      </c>
      <c r="AN4">
        <v>-1</v>
      </c>
      <c r="AO4">
        <v>1</v>
      </c>
      <c r="AP4">
        <v>-1</v>
      </c>
      <c r="AQ4">
        <v>-1</v>
      </c>
      <c r="AR4">
        <v>-1</v>
      </c>
      <c r="AS4">
        <v>0</v>
      </c>
      <c r="AT4">
        <v>24</v>
      </c>
      <c r="AU4" t="str">
        <v>N/A</v>
      </c>
      <c r="AV4">
        <v>1</v>
      </c>
    </row>
    <row r="5" spans="1:48" ht="39.75" thickBot="1" x14ac:dyDescent="0.3">
      <c r="A5" s="25">
        <v>4</v>
      </c>
      <c r="B5" s="25" t="s">
        <v>160</v>
      </c>
      <c r="C5" s="12" t="s">
        <v>21</v>
      </c>
      <c r="D5" s="8">
        <v>-1</v>
      </c>
      <c r="E5" s="8">
        <v>1</v>
      </c>
      <c r="F5" s="8">
        <v>1</v>
      </c>
      <c r="G5" s="8">
        <v>2</v>
      </c>
      <c r="H5" s="8">
        <v>1</v>
      </c>
      <c r="I5" s="8">
        <v>-1</v>
      </c>
      <c r="J5" s="8">
        <v>1</v>
      </c>
      <c r="K5" s="8">
        <v>1</v>
      </c>
      <c r="L5" s="8">
        <v>-1</v>
      </c>
      <c r="M5" s="8">
        <v>-1</v>
      </c>
      <c r="N5" s="8">
        <v>1</v>
      </c>
      <c r="O5" s="8">
        <v>0</v>
      </c>
      <c r="P5" s="8">
        <v>-1</v>
      </c>
      <c r="Q5" s="8">
        <v>-1</v>
      </c>
      <c r="R5" s="8">
        <v>0</v>
      </c>
      <c r="S5" s="8">
        <v>-1</v>
      </c>
      <c r="T5" s="8">
        <v>-1</v>
      </c>
      <c r="U5" s="8">
        <v>1</v>
      </c>
      <c r="V5" s="9">
        <v>25</v>
      </c>
      <c r="W5" s="8" t="s">
        <v>144</v>
      </c>
      <c r="X5" s="10">
        <v>1</v>
      </c>
      <c r="Y5" s="31" cm="1">
        <f t="array" ref="Y5">IFERROR(_xlfn.XMATCH(TRUE, ISNUMBER(SEARCH($B$2:$B$201, C5))), 9999)</f>
        <v>129</v>
      </c>
      <c r="Z5" s="7"/>
      <c r="AA5" s="7" t="str">
        <v>김진호/2001.01.30</v>
      </c>
      <c r="AB5" s="7">
        <v>-2</v>
      </c>
      <c r="AC5" s="7">
        <v>0</v>
      </c>
      <c r="AD5" s="7">
        <v>-1</v>
      </c>
      <c r="AE5">
        <v>2</v>
      </c>
      <c r="AF5">
        <v>-1</v>
      </c>
      <c r="AG5">
        <v>-1</v>
      </c>
      <c r="AH5">
        <v>1</v>
      </c>
      <c r="AI5">
        <v>-1</v>
      </c>
      <c r="AJ5">
        <v>-1</v>
      </c>
      <c r="AK5">
        <v>-1</v>
      </c>
      <c r="AL5">
        <v>2</v>
      </c>
      <c r="AM5">
        <v>-1</v>
      </c>
      <c r="AN5">
        <v>-1</v>
      </c>
      <c r="AO5">
        <v>1</v>
      </c>
      <c r="AP5">
        <v>0</v>
      </c>
      <c r="AQ5">
        <v>-2</v>
      </c>
      <c r="AR5">
        <v>-2</v>
      </c>
      <c r="AS5">
        <v>1</v>
      </c>
      <c r="AT5" t="str">
        <v>24,25</v>
      </c>
      <c r="AU5">
        <v>24</v>
      </c>
      <c r="AV5">
        <v>0</v>
      </c>
    </row>
    <row r="6" spans="1:48" ht="27" thickBot="1" x14ac:dyDescent="0.3">
      <c r="A6" s="25">
        <v>5</v>
      </c>
      <c r="B6" s="25" t="s">
        <v>161</v>
      </c>
      <c r="C6" s="13" t="s">
        <v>22</v>
      </c>
      <c r="D6" s="4">
        <v>-2</v>
      </c>
      <c r="E6" s="4">
        <v>1</v>
      </c>
      <c r="F6" s="4">
        <v>2</v>
      </c>
      <c r="G6" s="4">
        <v>2</v>
      </c>
      <c r="H6" s="4">
        <v>2</v>
      </c>
      <c r="I6" s="4">
        <v>-2</v>
      </c>
      <c r="J6" s="4">
        <v>0</v>
      </c>
      <c r="K6" s="4">
        <v>2</v>
      </c>
      <c r="L6" s="4">
        <v>0</v>
      </c>
      <c r="M6" s="4">
        <v>-1</v>
      </c>
      <c r="N6" s="4">
        <v>1</v>
      </c>
      <c r="O6" s="4">
        <v>-1</v>
      </c>
      <c r="P6" s="4">
        <v>-1</v>
      </c>
      <c r="Q6" s="4">
        <v>1</v>
      </c>
      <c r="R6" s="4">
        <v>1</v>
      </c>
      <c r="S6" s="4">
        <v>-1</v>
      </c>
      <c r="T6" s="4">
        <v>0</v>
      </c>
      <c r="U6" s="4">
        <v>1</v>
      </c>
      <c r="V6" s="4">
        <v>23</v>
      </c>
      <c r="W6" s="4">
        <v>26</v>
      </c>
      <c r="X6" s="6">
        <v>1</v>
      </c>
      <c r="Y6" s="31" cm="1">
        <f t="array" ref="Y6">IFERROR(_xlfn.XMATCH(TRUE, ISNUMBER(SEARCH($B$2:$B$201, C6))), 9999)</f>
        <v>69</v>
      </c>
      <c r="Z6" s="7"/>
      <c r="AA6" s="7" t="str">
        <v>이수민, 061204</v>
      </c>
      <c r="AB6" s="7">
        <v>-1</v>
      </c>
      <c r="AC6" s="7">
        <v>1</v>
      </c>
      <c r="AD6" s="7">
        <v>-1</v>
      </c>
      <c r="AE6">
        <v>2</v>
      </c>
      <c r="AF6">
        <v>0</v>
      </c>
      <c r="AG6">
        <v>-1</v>
      </c>
      <c r="AH6">
        <v>1</v>
      </c>
      <c r="AI6">
        <v>-1</v>
      </c>
      <c r="AJ6">
        <v>-1</v>
      </c>
      <c r="AK6">
        <v>-1</v>
      </c>
      <c r="AL6">
        <v>1</v>
      </c>
      <c r="AM6">
        <v>0</v>
      </c>
      <c r="AN6">
        <v>-1</v>
      </c>
      <c r="AO6">
        <v>0</v>
      </c>
      <c r="AP6">
        <v>0</v>
      </c>
      <c r="AQ6">
        <v>-1</v>
      </c>
      <c r="AR6">
        <v>-1</v>
      </c>
      <c r="AS6">
        <v>1</v>
      </c>
      <c r="AT6">
        <v>24</v>
      </c>
      <c r="AU6">
        <v>21</v>
      </c>
      <c r="AV6">
        <v>1</v>
      </c>
    </row>
    <row r="7" spans="1:48" ht="28.5" thickBot="1" x14ac:dyDescent="0.4">
      <c r="A7" s="25">
        <v>6</v>
      </c>
      <c r="B7" s="32" t="s">
        <v>271</v>
      </c>
      <c r="C7" s="14" t="s">
        <v>23</v>
      </c>
      <c r="D7" s="8">
        <v>-2</v>
      </c>
      <c r="E7" s="8">
        <v>1</v>
      </c>
      <c r="F7" s="8">
        <v>1</v>
      </c>
      <c r="G7" s="8">
        <v>1</v>
      </c>
      <c r="H7" s="8">
        <v>1</v>
      </c>
      <c r="I7" s="8">
        <v>-1</v>
      </c>
      <c r="J7" s="8">
        <v>1</v>
      </c>
      <c r="K7" s="8">
        <v>1</v>
      </c>
      <c r="L7" s="8">
        <v>0</v>
      </c>
      <c r="M7" s="8">
        <v>-1</v>
      </c>
      <c r="N7" s="8">
        <v>1</v>
      </c>
      <c r="O7" s="8">
        <v>0</v>
      </c>
      <c r="P7" s="8">
        <v>1</v>
      </c>
      <c r="Q7" s="8">
        <v>0</v>
      </c>
      <c r="R7" s="8">
        <v>-1</v>
      </c>
      <c r="S7" s="8">
        <v>-2</v>
      </c>
      <c r="T7" s="8">
        <v>0</v>
      </c>
      <c r="U7" s="8">
        <v>1</v>
      </c>
      <c r="V7" s="8">
        <v>27</v>
      </c>
      <c r="W7" s="8" t="s">
        <v>144</v>
      </c>
      <c r="X7" s="10">
        <v>1</v>
      </c>
      <c r="Y7" s="31" cm="1">
        <f t="array" ref="Y7">IFERROR(_xlfn.XMATCH(TRUE, ISNUMBER(SEARCH($B$2:$B$201, C7))), 9999)</f>
        <v>129</v>
      </c>
      <c r="Z7" s="7"/>
      <c r="AA7" s="7" t="str">
        <v>박시현 0408</v>
      </c>
      <c r="AB7" s="7">
        <v>-1</v>
      </c>
      <c r="AC7" s="7">
        <v>2</v>
      </c>
      <c r="AD7" s="7">
        <v>2</v>
      </c>
      <c r="AE7">
        <v>2</v>
      </c>
      <c r="AF7">
        <v>2</v>
      </c>
      <c r="AG7">
        <v>-1</v>
      </c>
      <c r="AH7">
        <v>0</v>
      </c>
      <c r="AI7">
        <v>0</v>
      </c>
      <c r="AJ7">
        <v>0</v>
      </c>
      <c r="AK7">
        <v>0</v>
      </c>
      <c r="AL7">
        <v>2</v>
      </c>
      <c r="AM7">
        <v>-1</v>
      </c>
      <c r="AN7">
        <v>0</v>
      </c>
      <c r="AO7">
        <v>0</v>
      </c>
      <c r="AP7">
        <v>0</v>
      </c>
      <c r="AQ7">
        <v>-1</v>
      </c>
      <c r="AR7">
        <v>0</v>
      </c>
      <c r="AS7">
        <v>1</v>
      </c>
      <c r="AT7">
        <v>23</v>
      </c>
      <c r="AU7">
        <v>25</v>
      </c>
      <c r="AV7">
        <v>0</v>
      </c>
    </row>
    <row r="8" spans="1:48" ht="27" thickBot="1" x14ac:dyDescent="0.3">
      <c r="A8" s="25">
        <v>7</v>
      </c>
      <c r="B8" s="25" t="s">
        <v>162</v>
      </c>
      <c r="C8" s="4" t="s">
        <v>24</v>
      </c>
      <c r="D8" s="4">
        <v>-2</v>
      </c>
      <c r="E8" s="4">
        <v>2</v>
      </c>
      <c r="F8" s="4">
        <v>2</v>
      </c>
      <c r="G8" s="4">
        <v>1</v>
      </c>
      <c r="H8" s="4">
        <v>2</v>
      </c>
      <c r="I8" s="4">
        <v>-2</v>
      </c>
      <c r="J8" s="4">
        <v>2</v>
      </c>
      <c r="K8" s="4">
        <v>2</v>
      </c>
      <c r="L8" s="4">
        <v>1</v>
      </c>
      <c r="M8" s="4">
        <v>2</v>
      </c>
      <c r="N8" s="4">
        <v>2</v>
      </c>
      <c r="O8" s="4">
        <v>2</v>
      </c>
      <c r="P8" s="4">
        <v>2</v>
      </c>
      <c r="Q8" s="4">
        <v>-1</v>
      </c>
      <c r="R8" s="4">
        <v>0</v>
      </c>
      <c r="S8" s="4">
        <v>-2</v>
      </c>
      <c r="T8" s="4">
        <v>2</v>
      </c>
      <c r="U8" s="4">
        <v>2</v>
      </c>
      <c r="V8" s="5">
        <v>25</v>
      </c>
      <c r="W8" s="5">
        <v>26</v>
      </c>
      <c r="X8" s="6">
        <v>-1</v>
      </c>
      <c r="Y8" s="31" cm="1">
        <f t="array" ref="Y8">IFERROR(_xlfn.XMATCH(TRUE, ISNUMBER(SEARCH($B$2:$B$201, C8))), 9999)</f>
        <v>97</v>
      </c>
      <c r="Z8" s="7"/>
      <c r="AA8" s="7" t="str">
        <v>문지연 20020916</v>
      </c>
      <c r="AB8" s="7">
        <v>-2</v>
      </c>
      <c r="AC8" s="7">
        <v>2</v>
      </c>
      <c r="AD8" s="7">
        <v>2</v>
      </c>
      <c r="AE8">
        <v>2</v>
      </c>
      <c r="AF8">
        <v>2</v>
      </c>
      <c r="AG8">
        <v>0</v>
      </c>
      <c r="AH8">
        <v>2</v>
      </c>
      <c r="AI8">
        <v>2</v>
      </c>
      <c r="AJ8">
        <v>0</v>
      </c>
      <c r="AK8">
        <v>-2</v>
      </c>
      <c r="AL8">
        <v>2</v>
      </c>
      <c r="AM8">
        <v>1</v>
      </c>
      <c r="AN8">
        <v>0</v>
      </c>
      <c r="AO8">
        <v>-2</v>
      </c>
      <c r="AP8">
        <v>1</v>
      </c>
      <c r="AQ8">
        <v>-2</v>
      </c>
      <c r="AR8">
        <v>-2</v>
      </c>
      <c r="AS8">
        <v>2</v>
      </c>
      <c r="AT8">
        <v>18</v>
      </c>
      <c r="AU8">
        <v>22</v>
      </c>
      <c r="AV8">
        <v>2</v>
      </c>
    </row>
    <row r="9" spans="1:48" ht="27" thickBot="1" x14ac:dyDescent="0.3">
      <c r="A9" s="25">
        <v>8</v>
      </c>
      <c r="B9" s="25" t="s">
        <v>163</v>
      </c>
      <c r="C9" s="8" t="s">
        <v>25</v>
      </c>
      <c r="D9" s="8">
        <v>-1</v>
      </c>
      <c r="E9" s="8">
        <v>1</v>
      </c>
      <c r="F9" s="8">
        <v>-1</v>
      </c>
      <c r="G9" s="8">
        <v>2</v>
      </c>
      <c r="H9" s="8">
        <v>1</v>
      </c>
      <c r="I9" s="8">
        <v>-1</v>
      </c>
      <c r="J9" s="8">
        <v>-1</v>
      </c>
      <c r="K9" s="8">
        <v>-1</v>
      </c>
      <c r="L9" s="8">
        <v>-1</v>
      </c>
      <c r="M9" s="8">
        <v>-1</v>
      </c>
      <c r="N9" s="8">
        <v>1</v>
      </c>
      <c r="O9" s="8">
        <v>1</v>
      </c>
      <c r="P9" s="8">
        <v>-1</v>
      </c>
      <c r="Q9" s="8">
        <v>-1</v>
      </c>
      <c r="R9" s="8">
        <v>-1</v>
      </c>
      <c r="S9" s="8">
        <v>1</v>
      </c>
      <c r="T9" s="8">
        <v>-1</v>
      </c>
      <c r="U9" s="8">
        <v>1</v>
      </c>
      <c r="V9" s="9">
        <v>25</v>
      </c>
      <c r="W9" s="9">
        <v>29</v>
      </c>
      <c r="X9" s="10">
        <v>0</v>
      </c>
      <c r="Y9" s="31" cm="1">
        <f t="array" ref="Y9">IFERROR(_xlfn.XMATCH(TRUE, ISNUMBER(SEARCH($B$2:$B$201, C9))), 9999)</f>
        <v>17</v>
      </c>
      <c r="Z9" s="7"/>
      <c r="AA9" s="7" t="str">
        <v>권소현 2001.04.11</v>
      </c>
      <c r="AB9" s="7">
        <v>-1</v>
      </c>
      <c r="AC9" s="7">
        <v>1</v>
      </c>
      <c r="AD9" s="7">
        <v>1</v>
      </c>
      <c r="AE9">
        <v>1</v>
      </c>
      <c r="AF9">
        <v>1</v>
      </c>
      <c r="AG9">
        <v>-1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-1</v>
      </c>
      <c r="AO9">
        <v>0</v>
      </c>
      <c r="AP9">
        <v>-2</v>
      </c>
      <c r="AQ9">
        <v>-2</v>
      </c>
      <c r="AR9">
        <v>-2</v>
      </c>
      <c r="AS9">
        <v>1</v>
      </c>
      <c r="AT9">
        <v>21</v>
      </c>
      <c r="AU9">
        <v>30</v>
      </c>
      <c r="AV9">
        <v>-1</v>
      </c>
    </row>
    <row r="10" spans="1:48" ht="27" thickBot="1" x14ac:dyDescent="0.3">
      <c r="A10" s="25">
        <v>9</v>
      </c>
      <c r="B10" s="25" t="s">
        <v>164</v>
      </c>
      <c r="C10" s="36" t="s">
        <v>285</v>
      </c>
      <c r="D10" s="4">
        <v>-1</v>
      </c>
      <c r="E10" s="4">
        <v>2</v>
      </c>
      <c r="F10" s="4">
        <v>1</v>
      </c>
      <c r="G10" s="4">
        <v>2</v>
      </c>
      <c r="H10" s="4">
        <v>2</v>
      </c>
      <c r="I10" s="4">
        <v>1</v>
      </c>
      <c r="J10" s="4">
        <v>1</v>
      </c>
      <c r="K10" s="4">
        <v>1</v>
      </c>
      <c r="L10" s="4">
        <v>1</v>
      </c>
      <c r="M10" s="4">
        <v>-1</v>
      </c>
      <c r="N10" s="4">
        <v>1</v>
      </c>
      <c r="O10" s="4">
        <v>2</v>
      </c>
      <c r="P10" s="4">
        <v>1</v>
      </c>
      <c r="Q10" s="4">
        <v>1</v>
      </c>
      <c r="R10" s="4">
        <v>0</v>
      </c>
      <c r="S10" s="4">
        <v>1</v>
      </c>
      <c r="T10" s="4">
        <v>1</v>
      </c>
      <c r="U10" s="4">
        <v>0</v>
      </c>
      <c r="V10" s="5">
        <v>23</v>
      </c>
      <c r="W10" s="5">
        <v>27</v>
      </c>
      <c r="X10" s="6">
        <v>1</v>
      </c>
      <c r="Y10" s="31" cm="1">
        <f t="array" ref="Y10">IFERROR(_xlfn.XMATCH(TRUE, ISNUMBER(SEARCH($B$2:$B$201, C10))), 9999)</f>
        <v>91</v>
      </c>
      <c r="Z10" s="7"/>
      <c r="AA10" s="7" t="str">
        <v>문혁진 981221</v>
      </c>
      <c r="AB10" s="7">
        <v>1</v>
      </c>
      <c r="AC10" s="7">
        <v>2</v>
      </c>
      <c r="AD10" s="7">
        <v>0</v>
      </c>
      <c r="AE10">
        <v>1</v>
      </c>
      <c r="AF10">
        <v>2</v>
      </c>
      <c r="AG10">
        <v>-1</v>
      </c>
      <c r="AH10">
        <v>0</v>
      </c>
      <c r="AI10">
        <v>0</v>
      </c>
      <c r="AJ10">
        <v>1</v>
      </c>
      <c r="AK10">
        <v>2</v>
      </c>
      <c r="AL10">
        <v>2</v>
      </c>
      <c r="AM10">
        <v>-2</v>
      </c>
      <c r="AN10">
        <v>-1</v>
      </c>
      <c r="AO10">
        <v>0</v>
      </c>
      <c r="AP10">
        <v>0</v>
      </c>
      <c r="AQ10">
        <v>-2</v>
      </c>
      <c r="AR10">
        <v>0</v>
      </c>
      <c r="AS10">
        <v>0</v>
      </c>
      <c r="AT10">
        <v>21</v>
      </c>
      <c r="AU10">
        <v>26</v>
      </c>
      <c r="AV10">
        <v>1</v>
      </c>
    </row>
    <row r="11" spans="1:48" ht="27" thickBot="1" x14ac:dyDescent="0.3">
      <c r="A11" s="25">
        <v>10</v>
      </c>
      <c r="B11" s="25" t="s">
        <v>165</v>
      </c>
      <c r="C11" s="8" t="s">
        <v>26</v>
      </c>
      <c r="D11" s="8">
        <v>-1</v>
      </c>
      <c r="E11" s="8">
        <v>2</v>
      </c>
      <c r="F11" s="8">
        <v>2</v>
      </c>
      <c r="G11" s="8">
        <v>2</v>
      </c>
      <c r="H11" s="8">
        <v>2</v>
      </c>
      <c r="I11" s="8">
        <v>-1</v>
      </c>
      <c r="J11" s="8">
        <v>1</v>
      </c>
      <c r="K11" s="8">
        <v>0</v>
      </c>
      <c r="L11" s="8">
        <v>-2</v>
      </c>
      <c r="M11" s="8">
        <v>-1</v>
      </c>
      <c r="N11" s="8">
        <v>2</v>
      </c>
      <c r="O11" s="8">
        <v>-1</v>
      </c>
      <c r="P11" s="8">
        <v>-1</v>
      </c>
      <c r="Q11" s="8">
        <v>1</v>
      </c>
      <c r="R11" s="8">
        <v>0</v>
      </c>
      <c r="S11" s="8">
        <v>-1</v>
      </c>
      <c r="T11" s="8">
        <v>0</v>
      </c>
      <c r="U11" s="8">
        <v>2</v>
      </c>
      <c r="V11" s="8">
        <v>24</v>
      </c>
      <c r="W11" s="8" t="s">
        <v>144</v>
      </c>
      <c r="X11" s="10">
        <v>1</v>
      </c>
      <c r="Y11" s="31" cm="1">
        <f t="array" ref="Y11">IFERROR(_xlfn.XMATCH(TRUE, ISNUMBER(SEARCH($B$2:$B$201, C11))), 9999)</f>
        <v>74</v>
      </c>
      <c r="Z11" s="7"/>
      <c r="AA11" s="7" t="str">
        <v>이진영 20001020</v>
      </c>
      <c r="AB11" s="7">
        <v>1</v>
      </c>
      <c r="AC11" s="7">
        <v>-1</v>
      </c>
      <c r="AD11" s="7">
        <v>-1</v>
      </c>
      <c r="AE11">
        <v>1</v>
      </c>
      <c r="AF11">
        <v>-1</v>
      </c>
      <c r="AG11">
        <v>0</v>
      </c>
      <c r="AH11">
        <v>-1</v>
      </c>
      <c r="AI11">
        <v>-1</v>
      </c>
      <c r="AJ11">
        <v>-1</v>
      </c>
      <c r="AK11">
        <v>2</v>
      </c>
      <c r="AL11">
        <v>-1</v>
      </c>
      <c r="AM11">
        <v>-2</v>
      </c>
      <c r="AN11">
        <v>-2</v>
      </c>
      <c r="AO11">
        <v>-1</v>
      </c>
      <c r="AP11">
        <v>-1</v>
      </c>
      <c r="AQ11">
        <v>1</v>
      </c>
      <c r="AR11">
        <v>-2</v>
      </c>
      <c r="AS11">
        <v>-1</v>
      </c>
      <c r="AT11">
        <v>22</v>
      </c>
      <c r="AU11">
        <v>22</v>
      </c>
      <c r="AV11">
        <v>1</v>
      </c>
    </row>
    <row r="12" spans="1:48" ht="39" thickBot="1" x14ac:dyDescent="0.3">
      <c r="A12" s="25">
        <v>11</v>
      </c>
      <c r="B12" s="25" t="s">
        <v>166</v>
      </c>
      <c r="C12" s="4" t="s">
        <v>27</v>
      </c>
      <c r="D12" s="4">
        <v>-1</v>
      </c>
      <c r="E12" s="4">
        <v>2</v>
      </c>
      <c r="F12" s="4">
        <v>2</v>
      </c>
      <c r="G12" s="4">
        <v>1</v>
      </c>
      <c r="H12" s="4">
        <v>-1</v>
      </c>
      <c r="I12" s="4">
        <v>-2</v>
      </c>
      <c r="J12" s="4">
        <v>1</v>
      </c>
      <c r="K12" s="4">
        <v>-1</v>
      </c>
      <c r="L12" s="4">
        <v>1</v>
      </c>
      <c r="M12" s="4">
        <v>1</v>
      </c>
      <c r="N12" s="4">
        <v>1</v>
      </c>
      <c r="O12" s="4">
        <v>-1</v>
      </c>
      <c r="P12" s="4">
        <v>1</v>
      </c>
      <c r="Q12" s="4">
        <v>0</v>
      </c>
      <c r="R12" s="4">
        <v>1</v>
      </c>
      <c r="S12" s="4">
        <v>-1</v>
      </c>
      <c r="T12" s="4">
        <v>-1</v>
      </c>
      <c r="U12" s="4">
        <v>1</v>
      </c>
      <c r="V12" s="5">
        <v>25</v>
      </c>
      <c r="W12" s="5">
        <v>27</v>
      </c>
      <c r="X12" s="6">
        <v>-1</v>
      </c>
      <c r="Y12" s="31" cm="1">
        <f t="array" ref="Y12">IFERROR(_xlfn.XMATCH(TRUE, ISNUMBER(SEARCH($B$2:$B$201, C12))), 9999)</f>
        <v>110</v>
      </c>
      <c r="Z12" s="7"/>
      <c r="AA12" s="7" t="str">
        <v>김재원 / 000803</v>
      </c>
      <c r="AB12" s="7">
        <v>-1</v>
      </c>
      <c r="AC12" s="7">
        <v>1</v>
      </c>
      <c r="AD12" s="7">
        <v>1</v>
      </c>
      <c r="AE12">
        <v>1</v>
      </c>
      <c r="AF12">
        <v>1</v>
      </c>
      <c r="AG12">
        <v>-2</v>
      </c>
      <c r="AH12">
        <v>0</v>
      </c>
      <c r="AI12">
        <v>-1</v>
      </c>
      <c r="AJ12">
        <v>-1</v>
      </c>
      <c r="AK12">
        <v>0</v>
      </c>
      <c r="AL12">
        <v>1</v>
      </c>
      <c r="AM12">
        <v>-1</v>
      </c>
      <c r="AN12">
        <v>-1</v>
      </c>
      <c r="AO12">
        <v>1</v>
      </c>
      <c r="AP12">
        <v>0</v>
      </c>
      <c r="AQ12">
        <v>-2</v>
      </c>
      <c r="AR12">
        <v>-1</v>
      </c>
      <c r="AS12">
        <v>1</v>
      </c>
      <c r="AT12">
        <v>21</v>
      </c>
      <c r="AU12" t="str">
        <v>N/A</v>
      </c>
      <c r="AV12">
        <v>-1</v>
      </c>
    </row>
    <row r="13" spans="1:48" ht="39.75" thickBot="1" x14ac:dyDescent="0.3">
      <c r="A13" s="25">
        <v>12</v>
      </c>
      <c r="B13" s="25" t="s">
        <v>167</v>
      </c>
      <c r="C13" s="15" t="s">
        <v>28</v>
      </c>
      <c r="D13" s="8">
        <v>-2</v>
      </c>
      <c r="E13" s="8">
        <v>2</v>
      </c>
      <c r="F13" s="8">
        <v>2</v>
      </c>
      <c r="G13" s="8">
        <v>2</v>
      </c>
      <c r="H13" s="8">
        <v>-2</v>
      </c>
      <c r="I13" s="8">
        <v>-2</v>
      </c>
      <c r="J13" s="8">
        <v>2</v>
      </c>
      <c r="K13" s="8">
        <v>-2</v>
      </c>
      <c r="L13" s="8">
        <v>-2</v>
      </c>
      <c r="M13" s="8">
        <v>1</v>
      </c>
      <c r="N13" s="8">
        <v>2</v>
      </c>
      <c r="O13" s="8">
        <v>-2</v>
      </c>
      <c r="P13" s="8">
        <v>-2</v>
      </c>
      <c r="Q13" s="8">
        <v>2</v>
      </c>
      <c r="R13" s="8">
        <v>-2</v>
      </c>
      <c r="S13" s="8">
        <v>-2</v>
      </c>
      <c r="T13" s="8">
        <v>-2</v>
      </c>
      <c r="U13" s="8">
        <v>2</v>
      </c>
      <c r="V13" s="9">
        <v>25</v>
      </c>
      <c r="W13" s="9">
        <v>28</v>
      </c>
      <c r="X13" s="10">
        <v>-1</v>
      </c>
      <c r="Y13" s="31" cm="1">
        <f t="array" ref="Y13">IFERROR(_xlfn.XMATCH(TRUE, ISNUMBER(SEARCH($B$2:$B$201, C13))), 9999)</f>
        <v>66</v>
      </c>
      <c r="Z13" s="7"/>
      <c r="AA13" s="7" t="str">
        <v>박서윤/2004년 10월 6일</v>
      </c>
      <c r="AB13" s="7">
        <v>-1</v>
      </c>
      <c r="AC13" s="7">
        <v>1</v>
      </c>
      <c r="AD13" s="7">
        <v>1</v>
      </c>
      <c r="AE13">
        <v>1</v>
      </c>
      <c r="AF13">
        <v>1</v>
      </c>
      <c r="AG13">
        <v>-1</v>
      </c>
      <c r="AH13">
        <v>1</v>
      </c>
      <c r="AI13">
        <v>0</v>
      </c>
      <c r="AJ13">
        <v>1</v>
      </c>
      <c r="AK13">
        <v>-1</v>
      </c>
      <c r="AL13">
        <v>1</v>
      </c>
      <c r="AM13">
        <v>-1</v>
      </c>
      <c r="AN13">
        <v>1</v>
      </c>
      <c r="AO13">
        <v>0</v>
      </c>
      <c r="AP13">
        <v>-1</v>
      </c>
      <c r="AQ13">
        <v>-2</v>
      </c>
      <c r="AR13">
        <v>-1</v>
      </c>
      <c r="AS13">
        <v>1</v>
      </c>
      <c r="AT13" t="str">
        <v>N/A</v>
      </c>
      <c r="AU13" t="str">
        <v>N/A</v>
      </c>
      <c r="AV13">
        <v>1</v>
      </c>
    </row>
    <row r="14" spans="1:48" ht="27" thickBot="1" x14ac:dyDescent="0.3">
      <c r="A14" s="25">
        <v>13</v>
      </c>
      <c r="B14" s="25" t="s">
        <v>168</v>
      </c>
      <c r="C14" s="14" t="s">
        <v>29</v>
      </c>
      <c r="D14" s="4">
        <v>-1</v>
      </c>
      <c r="E14" s="4">
        <v>1</v>
      </c>
      <c r="F14" s="4">
        <v>-1</v>
      </c>
      <c r="G14" s="4">
        <v>2</v>
      </c>
      <c r="H14" s="4">
        <v>1</v>
      </c>
      <c r="I14" s="4">
        <v>1</v>
      </c>
      <c r="J14" s="4">
        <v>0</v>
      </c>
      <c r="K14" s="4">
        <v>1</v>
      </c>
      <c r="L14" s="4">
        <v>1</v>
      </c>
      <c r="M14" s="4">
        <v>-1</v>
      </c>
      <c r="N14" s="4">
        <v>1</v>
      </c>
      <c r="O14" s="4">
        <v>0</v>
      </c>
      <c r="P14" s="4">
        <v>1</v>
      </c>
      <c r="Q14" s="4">
        <v>1</v>
      </c>
      <c r="R14" s="4">
        <v>-1</v>
      </c>
      <c r="S14" s="4">
        <v>1</v>
      </c>
      <c r="T14" s="4">
        <v>-1</v>
      </c>
      <c r="U14" s="4">
        <v>1</v>
      </c>
      <c r="V14" s="5">
        <v>25</v>
      </c>
      <c r="W14" s="5">
        <v>21</v>
      </c>
      <c r="X14" s="6">
        <v>1</v>
      </c>
      <c r="Y14" s="31" cm="1">
        <f t="array" ref="Y14">IFERROR(_xlfn.XMATCH(TRUE, ISNUMBER(SEARCH($B$2:$B$201, C14))), 9999)</f>
        <v>129</v>
      </c>
      <c r="Z14" s="7"/>
      <c r="AA14" s="7" t="str">
        <v>신서희/970704</v>
      </c>
      <c r="AB14" s="7">
        <v>-2</v>
      </c>
      <c r="AC14" s="7">
        <v>1</v>
      </c>
      <c r="AD14" s="7">
        <v>1</v>
      </c>
      <c r="AE14">
        <v>1</v>
      </c>
      <c r="AF14">
        <v>1</v>
      </c>
      <c r="AG14">
        <v>-1</v>
      </c>
      <c r="AH14">
        <v>1</v>
      </c>
      <c r="AI14">
        <v>-1</v>
      </c>
      <c r="AJ14">
        <v>-1</v>
      </c>
      <c r="AK14">
        <v>-1</v>
      </c>
      <c r="AL14">
        <v>1</v>
      </c>
      <c r="AM14">
        <v>-1</v>
      </c>
      <c r="AN14">
        <v>0</v>
      </c>
      <c r="AO14">
        <v>1</v>
      </c>
      <c r="AP14">
        <v>1</v>
      </c>
      <c r="AQ14">
        <v>-2</v>
      </c>
      <c r="AR14">
        <v>-2</v>
      </c>
      <c r="AS14">
        <v>1</v>
      </c>
      <c r="AT14">
        <v>26</v>
      </c>
      <c r="AU14" t="str">
        <v>N/A</v>
      </c>
      <c r="AV14">
        <v>-1</v>
      </c>
    </row>
    <row r="15" spans="1:48" ht="30" thickBot="1" x14ac:dyDescent="0.3">
      <c r="A15" s="25">
        <v>14</v>
      </c>
      <c r="B15" s="25" t="s">
        <v>169</v>
      </c>
      <c r="C15" s="24" t="s">
        <v>150</v>
      </c>
      <c r="D15" s="4">
        <v>-1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0</v>
      </c>
      <c r="P15" s="4">
        <v>0</v>
      </c>
      <c r="Q15" s="4">
        <v>-1</v>
      </c>
      <c r="R15" s="4">
        <v>1</v>
      </c>
      <c r="S15" s="4">
        <v>0</v>
      </c>
      <c r="T15" s="4">
        <v>1</v>
      </c>
      <c r="U15" s="4">
        <v>1</v>
      </c>
      <c r="V15" s="4" t="s">
        <v>144</v>
      </c>
      <c r="W15" s="4" t="s">
        <v>144</v>
      </c>
      <c r="X15" s="6">
        <v>-1</v>
      </c>
      <c r="Y15" s="31" cm="1">
        <f t="array" ref="Y15">IFERROR(_xlfn.XMATCH(TRUE, ISNUMBER(SEARCH($B$2:$B$201, C15))), 9999)</f>
        <v>29</v>
      </c>
      <c r="Z15" s="7"/>
      <c r="AA15" s="7" t="str">
        <v>이윤재 missing 20000625</v>
      </c>
      <c r="AB15" s="7">
        <v>0</v>
      </c>
      <c r="AC15" s="7">
        <v>0</v>
      </c>
      <c r="AD15" s="7" t="str">
        <v>010-9396-2253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ht="27" thickBot="1" x14ac:dyDescent="0.3">
      <c r="A16" s="25">
        <v>15</v>
      </c>
      <c r="B16" s="25" t="s">
        <v>170</v>
      </c>
      <c r="C16" s="14" t="s">
        <v>30</v>
      </c>
      <c r="D16" s="8">
        <v>-2</v>
      </c>
      <c r="E16" s="8">
        <v>2</v>
      </c>
      <c r="F16" s="8">
        <v>2</v>
      </c>
      <c r="G16" s="8">
        <v>2</v>
      </c>
      <c r="H16" s="8">
        <v>2</v>
      </c>
      <c r="I16" s="8">
        <v>-2</v>
      </c>
      <c r="J16" s="8">
        <v>2</v>
      </c>
      <c r="K16" s="8">
        <v>1</v>
      </c>
      <c r="L16" s="8">
        <v>2</v>
      </c>
      <c r="M16" s="8">
        <v>-2</v>
      </c>
      <c r="N16" s="8">
        <v>2</v>
      </c>
      <c r="O16" s="8">
        <v>0</v>
      </c>
      <c r="P16" s="8">
        <v>2</v>
      </c>
      <c r="Q16" s="8">
        <v>-2</v>
      </c>
      <c r="R16" s="8">
        <v>2</v>
      </c>
      <c r="S16" s="8">
        <v>-2</v>
      </c>
      <c r="T16" s="8">
        <v>1</v>
      </c>
      <c r="U16" s="8">
        <v>1</v>
      </c>
      <c r="V16" s="9">
        <v>25</v>
      </c>
      <c r="W16" s="8" t="s">
        <v>144</v>
      </c>
      <c r="X16" s="10">
        <v>2</v>
      </c>
      <c r="Y16" s="31" cm="1">
        <f t="array" ref="Y16">IFERROR(_xlfn.XMATCH(TRUE, ISNUMBER(SEARCH($B$2:$B$201, C16))), 9999)</f>
        <v>129</v>
      </c>
      <c r="Z16" s="7"/>
      <c r="AA16" s="7" t="str">
        <v>원윤서 041115</v>
      </c>
      <c r="AB16" s="7">
        <v>-1</v>
      </c>
      <c r="AC16" s="7">
        <v>2</v>
      </c>
      <c r="AD16" s="7">
        <v>1</v>
      </c>
      <c r="AE16">
        <v>2</v>
      </c>
      <c r="AF16">
        <v>2</v>
      </c>
      <c r="AG16">
        <v>0</v>
      </c>
      <c r="AH16">
        <v>1</v>
      </c>
      <c r="AI16">
        <v>2</v>
      </c>
      <c r="AJ16">
        <v>1</v>
      </c>
      <c r="AK16">
        <v>-1</v>
      </c>
      <c r="AL16">
        <v>1</v>
      </c>
      <c r="AM16">
        <v>1</v>
      </c>
      <c r="AN16">
        <v>1</v>
      </c>
      <c r="AO16">
        <v>-1</v>
      </c>
      <c r="AP16">
        <v>1</v>
      </c>
      <c r="AQ16">
        <v>-1</v>
      </c>
      <c r="AR16">
        <v>1</v>
      </c>
      <c r="AS16">
        <v>1</v>
      </c>
      <c r="AT16">
        <v>25</v>
      </c>
      <c r="AU16">
        <v>22</v>
      </c>
      <c r="AV16">
        <v>0</v>
      </c>
    </row>
    <row r="17" spans="1:48" ht="27" thickBot="1" x14ac:dyDescent="0.3">
      <c r="A17" s="25">
        <v>16</v>
      </c>
      <c r="B17" s="25" t="s">
        <v>171</v>
      </c>
      <c r="C17" s="4" t="s">
        <v>31</v>
      </c>
      <c r="D17" s="4">
        <v>0</v>
      </c>
      <c r="E17" s="4">
        <v>-1</v>
      </c>
      <c r="F17" s="4">
        <v>-1</v>
      </c>
      <c r="G17" s="4">
        <v>0</v>
      </c>
      <c r="H17" s="4">
        <v>-1</v>
      </c>
      <c r="I17" s="4">
        <v>-2</v>
      </c>
      <c r="J17" s="4">
        <v>0</v>
      </c>
      <c r="K17" s="4">
        <v>-1</v>
      </c>
      <c r="L17" s="4">
        <v>-2</v>
      </c>
      <c r="M17" s="4">
        <v>0</v>
      </c>
      <c r="N17" s="4">
        <v>-2</v>
      </c>
      <c r="O17" s="4">
        <v>-2</v>
      </c>
      <c r="P17" s="4">
        <v>-2</v>
      </c>
      <c r="Q17" s="4">
        <v>0</v>
      </c>
      <c r="R17" s="4">
        <v>-1</v>
      </c>
      <c r="S17" s="4">
        <v>-2</v>
      </c>
      <c r="T17" s="4">
        <v>-2</v>
      </c>
      <c r="U17" s="4">
        <v>-1</v>
      </c>
      <c r="V17" s="4">
        <v>18</v>
      </c>
      <c r="W17" s="4" t="s">
        <v>144</v>
      </c>
      <c r="X17" s="6">
        <v>2</v>
      </c>
      <c r="Y17" s="31" cm="1">
        <f t="array" ref="Y17">IFERROR(_xlfn.XMATCH(TRUE, ISNUMBER(SEARCH($B$2:$B$201, C17))), 9999)</f>
        <v>129</v>
      </c>
      <c r="Z17" s="7"/>
      <c r="AA17" s="7" t="str">
        <v>신지수 980110</v>
      </c>
      <c r="AB17" s="7">
        <v>-1</v>
      </c>
      <c r="AC17" s="7">
        <v>1</v>
      </c>
      <c r="AD17" s="7">
        <v>0</v>
      </c>
      <c r="AE17">
        <v>2</v>
      </c>
      <c r="AF17">
        <v>0</v>
      </c>
      <c r="AG17">
        <v>-1</v>
      </c>
      <c r="AH17">
        <v>0</v>
      </c>
      <c r="AI17">
        <v>0</v>
      </c>
      <c r="AJ17">
        <v>0</v>
      </c>
      <c r="AK17">
        <v>-1</v>
      </c>
      <c r="AL17">
        <v>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0</v>
      </c>
      <c r="AT17">
        <v>23</v>
      </c>
      <c r="AU17" t="str">
        <v>N/A</v>
      </c>
      <c r="AV17">
        <v>1</v>
      </c>
    </row>
    <row r="18" spans="1:48" ht="27" thickBot="1" x14ac:dyDescent="0.3">
      <c r="A18" s="25">
        <v>17</v>
      </c>
      <c r="B18" s="25" t="s">
        <v>172</v>
      </c>
      <c r="C18" s="8" t="s">
        <v>32</v>
      </c>
      <c r="D18" s="8">
        <v>1</v>
      </c>
      <c r="E18" s="8">
        <v>-1</v>
      </c>
      <c r="F18" s="8">
        <v>1</v>
      </c>
      <c r="G18" s="8">
        <v>1</v>
      </c>
      <c r="H18" s="8">
        <v>1</v>
      </c>
      <c r="I18" s="8">
        <v>1</v>
      </c>
      <c r="J18" s="8">
        <v>-1</v>
      </c>
      <c r="K18" s="8">
        <v>1</v>
      </c>
      <c r="L18" s="8">
        <v>1</v>
      </c>
      <c r="M18" s="8">
        <v>1</v>
      </c>
      <c r="N18" s="8">
        <v>1</v>
      </c>
      <c r="O18" s="8">
        <v>0</v>
      </c>
      <c r="P18" s="8">
        <v>1</v>
      </c>
      <c r="Q18" s="8">
        <v>1</v>
      </c>
      <c r="R18" s="8">
        <v>-1</v>
      </c>
      <c r="S18" s="8">
        <v>1</v>
      </c>
      <c r="T18" s="8">
        <v>1</v>
      </c>
      <c r="U18" s="8">
        <v>1</v>
      </c>
      <c r="V18" s="8">
        <v>23</v>
      </c>
      <c r="W18" s="8" t="s">
        <v>144</v>
      </c>
      <c r="X18" s="10">
        <v>1</v>
      </c>
      <c r="Y18" s="31" cm="1">
        <f t="array" ref="Y18">IFERROR(_xlfn.XMATCH(TRUE, ISNUMBER(SEARCH($B$2:$B$201, C18))), 9999)</f>
        <v>65</v>
      </c>
      <c r="Z18" s="7"/>
      <c r="AA18" s="7" t="str">
        <v>배민준, 030726</v>
      </c>
      <c r="AB18" s="7">
        <v>-1</v>
      </c>
      <c r="AC18" s="7">
        <v>1</v>
      </c>
      <c r="AD18" s="7">
        <v>-1</v>
      </c>
      <c r="AE18">
        <v>2</v>
      </c>
      <c r="AF18">
        <v>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1</v>
      </c>
      <c r="AM18">
        <v>1</v>
      </c>
      <c r="AN18">
        <v>-1</v>
      </c>
      <c r="AO18">
        <v>-1</v>
      </c>
      <c r="AP18">
        <v>-1</v>
      </c>
      <c r="AQ18">
        <v>1</v>
      </c>
      <c r="AR18">
        <v>-1</v>
      </c>
      <c r="AS18">
        <v>1</v>
      </c>
      <c r="AT18">
        <v>25</v>
      </c>
      <c r="AU18">
        <v>29</v>
      </c>
      <c r="AV18">
        <v>0</v>
      </c>
    </row>
    <row r="19" spans="1:48" ht="39" thickBot="1" x14ac:dyDescent="0.3">
      <c r="A19" s="25">
        <v>18</v>
      </c>
      <c r="B19" s="25" t="s">
        <v>173</v>
      </c>
      <c r="C19" s="8" t="s">
        <v>34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 t="s">
        <v>144</v>
      </c>
      <c r="W19" s="8" t="s">
        <v>144</v>
      </c>
      <c r="X19" s="10">
        <v>2</v>
      </c>
      <c r="Y19" s="31" cm="1">
        <f t="array" ref="Y19">IFERROR(_xlfn.XMATCH(TRUE, ISNUMBER(SEARCH($B$2:$B$201, C19))), 9999)</f>
        <v>85</v>
      </c>
      <c r="Z19" s="7"/>
      <c r="AA19" s="7" t="str">
        <v>문강산 2000.12.23</v>
      </c>
      <c r="AB19" s="7">
        <v>1</v>
      </c>
      <c r="AC19" s="7">
        <v>-1</v>
      </c>
      <c r="AD19" s="7">
        <v>-1</v>
      </c>
      <c r="AE19">
        <v>1</v>
      </c>
      <c r="AF19">
        <v>-1</v>
      </c>
      <c r="AG19">
        <v>0</v>
      </c>
      <c r="AH19">
        <v>0</v>
      </c>
      <c r="AI19">
        <v>-1</v>
      </c>
      <c r="AJ19">
        <v>0</v>
      </c>
      <c r="AK19">
        <v>-1</v>
      </c>
      <c r="AL19">
        <v>-1</v>
      </c>
      <c r="AM19">
        <v>0</v>
      </c>
      <c r="AN19">
        <v>0</v>
      </c>
      <c r="AO19">
        <v>-1</v>
      </c>
      <c r="AP19">
        <v>0</v>
      </c>
      <c r="AQ19">
        <v>0</v>
      </c>
      <c r="AR19">
        <v>-1</v>
      </c>
      <c r="AS19">
        <v>-1</v>
      </c>
      <c r="AT19">
        <v>20</v>
      </c>
      <c r="AU19" t="str">
        <v>N/A</v>
      </c>
      <c r="AV19">
        <v>1</v>
      </c>
    </row>
    <row r="20" spans="1:48" ht="27" thickBot="1" x14ac:dyDescent="0.3">
      <c r="A20" s="25">
        <v>19</v>
      </c>
      <c r="B20" s="25" t="s">
        <v>174</v>
      </c>
      <c r="C20" s="13" t="s">
        <v>35</v>
      </c>
      <c r="D20" s="4">
        <v>-1</v>
      </c>
      <c r="E20" s="4">
        <v>1</v>
      </c>
      <c r="F20" s="4">
        <v>1</v>
      </c>
      <c r="G20" s="4">
        <v>1</v>
      </c>
      <c r="H20" s="4">
        <v>1</v>
      </c>
      <c r="I20" s="4">
        <v>-1</v>
      </c>
      <c r="J20" s="4">
        <v>0</v>
      </c>
      <c r="K20" s="4">
        <v>0</v>
      </c>
      <c r="L20" s="4">
        <v>-1</v>
      </c>
      <c r="M20" s="4">
        <v>-1</v>
      </c>
      <c r="N20" s="4">
        <v>1</v>
      </c>
      <c r="O20" s="4">
        <v>1</v>
      </c>
      <c r="P20" s="4">
        <v>0</v>
      </c>
      <c r="Q20" s="4">
        <v>1</v>
      </c>
      <c r="R20" s="4">
        <v>-1</v>
      </c>
      <c r="S20" s="4">
        <v>-1</v>
      </c>
      <c r="T20" s="4">
        <v>-1</v>
      </c>
      <c r="U20" s="4">
        <v>1</v>
      </c>
      <c r="V20" s="4">
        <v>23</v>
      </c>
      <c r="W20" s="4" t="s">
        <v>144</v>
      </c>
      <c r="X20" s="6">
        <v>1</v>
      </c>
      <c r="Y20" s="31" cm="1">
        <f t="array" ref="Y20">IFERROR(_xlfn.XMATCH(TRUE, ISNUMBER(SEARCH($B$2:$B$201, C20))), 9999)</f>
        <v>61</v>
      </c>
      <c r="Z20" s="7"/>
      <c r="AA20" s="7" t="str">
        <v>강성택 970808</v>
      </c>
      <c r="AB20" s="7">
        <v>-1</v>
      </c>
      <c r="AC20" s="7">
        <v>2</v>
      </c>
      <c r="AD20" s="7">
        <v>1</v>
      </c>
      <c r="AE20">
        <v>1</v>
      </c>
      <c r="AF20">
        <v>2</v>
      </c>
      <c r="AG20">
        <v>-2</v>
      </c>
      <c r="AH20">
        <v>1</v>
      </c>
      <c r="AI20">
        <v>-2</v>
      </c>
      <c r="AJ20">
        <v>-2</v>
      </c>
      <c r="AK20">
        <v>-2</v>
      </c>
      <c r="AL20">
        <v>1</v>
      </c>
      <c r="AM20">
        <v>-2</v>
      </c>
      <c r="AN20">
        <v>1</v>
      </c>
      <c r="AO20">
        <v>0</v>
      </c>
      <c r="AP20">
        <v>-1</v>
      </c>
      <c r="AQ20">
        <v>-2</v>
      </c>
      <c r="AR20">
        <v>0</v>
      </c>
      <c r="AS20">
        <v>2</v>
      </c>
      <c r="AT20">
        <v>26</v>
      </c>
      <c r="AU20" t="str">
        <v>N/A</v>
      </c>
      <c r="AV20">
        <v>-1</v>
      </c>
    </row>
    <row r="21" spans="1:48" ht="28.5" thickBot="1" x14ac:dyDescent="0.4">
      <c r="A21" s="25">
        <v>20</v>
      </c>
      <c r="B21" s="32" t="s">
        <v>288</v>
      </c>
      <c r="C21" s="16"/>
      <c r="D21" s="8">
        <v>-2</v>
      </c>
      <c r="E21" s="8">
        <v>-2</v>
      </c>
      <c r="F21" s="8">
        <v>-2</v>
      </c>
      <c r="G21" s="8">
        <v>-2</v>
      </c>
      <c r="H21" s="8">
        <v>-2</v>
      </c>
      <c r="I21" s="8">
        <v>-2</v>
      </c>
      <c r="J21" s="8">
        <v>-2</v>
      </c>
      <c r="K21" s="8">
        <v>-2</v>
      </c>
      <c r="L21" s="8">
        <v>-2</v>
      </c>
      <c r="M21" s="8">
        <v>-2</v>
      </c>
      <c r="N21" s="8">
        <v>-2</v>
      </c>
      <c r="O21" s="8">
        <v>-2</v>
      </c>
      <c r="P21" s="8">
        <v>-2</v>
      </c>
      <c r="Q21" s="8">
        <v>-2</v>
      </c>
      <c r="R21" s="8">
        <v>-2</v>
      </c>
      <c r="S21" s="8">
        <v>-2</v>
      </c>
      <c r="T21" s="8">
        <v>-2</v>
      </c>
      <c r="U21" s="8">
        <v>-2</v>
      </c>
      <c r="V21" s="9">
        <v>18</v>
      </c>
      <c r="W21" s="9">
        <v>21</v>
      </c>
      <c r="X21" s="10">
        <v>2</v>
      </c>
      <c r="Y21" s="31" cm="1">
        <f t="array" ref="Y21">IFERROR(_xlfn.XMATCH(TRUE, ISNUMBER(SEARCH($B$2:$B$201, C21))), 9999)</f>
        <v>9999</v>
      </c>
      <c r="Z21" s="7"/>
      <c r="AA21" s="7" t="str">
        <v>박상준 0604</v>
      </c>
      <c r="AB21" s="7">
        <v>-1</v>
      </c>
      <c r="AC21" s="7">
        <v>1</v>
      </c>
      <c r="AD21" s="7">
        <v>1</v>
      </c>
      <c r="AE21">
        <v>2</v>
      </c>
      <c r="AF21">
        <v>1</v>
      </c>
      <c r="AG21">
        <v>2</v>
      </c>
      <c r="AH21">
        <v>0</v>
      </c>
      <c r="AI21">
        <v>-1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-2</v>
      </c>
      <c r="AQ21">
        <v>0</v>
      </c>
      <c r="AR21">
        <v>1</v>
      </c>
      <c r="AS21">
        <v>0</v>
      </c>
      <c r="AT21">
        <v>22</v>
      </c>
      <c r="AU21">
        <v>24</v>
      </c>
      <c r="AV21">
        <v>1</v>
      </c>
    </row>
    <row r="22" spans="1:48" ht="27" thickBot="1" x14ac:dyDescent="0.3">
      <c r="A22" s="25">
        <v>21</v>
      </c>
      <c r="B22" s="25" t="s">
        <v>175</v>
      </c>
      <c r="C22" s="14" t="s">
        <v>36</v>
      </c>
      <c r="D22" s="4">
        <v>1</v>
      </c>
      <c r="E22" s="4">
        <v>2</v>
      </c>
      <c r="F22" s="4">
        <v>2</v>
      </c>
      <c r="G22" s="4">
        <v>2</v>
      </c>
      <c r="H22" s="4">
        <v>2</v>
      </c>
      <c r="I22" s="4">
        <v>-1</v>
      </c>
      <c r="J22" s="4">
        <v>1</v>
      </c>
      <c r="K22" s="4">
        <v>2</v>
      </c>
      <c r="L22" s="4">
        <v>-1</v>
      </c>
      <c r="M22" s="4">
        <v>-2</v>
      </c>
      <c r="N22" s="4">
        <v>1</v>
      </c>
      <c r="O22" s="4">
        <v>-2</v>
      </c>
      <c r="P22" s="4">
        <v>-2</v>
      </c>
      <c r="Q22" s="4">
        <v>1</v>
      </c>
      <c r="R22" s="4">
        <v>-1</v>
      </c>
      <c r="S22" s="4">
        <v>-2</v>
      </c>
      <c r="T22" s="4">
        <v>1</v>
      </c>
      <c r="U22" s="4">
        <v>2</v>
      </c>
      <c r="V22" s="5">
        <v>24</v>
      </c>
      <c r="W22" s="4" t="s">
        <v>144</v>
      </c>
      <c r="X22" s="6">
        <v>1</v>
      </c>
      <c r="Y22" s="31" cm="1">
        <f t="array" ref="Y22">IFERROR(_xlfn.XMATCH(TRUE, ISNUMBER(SEARCH($B$2:$B$201, C22))), 9999)</f>
        <v>129</v>
      </c>
      <c r="Z22" s="7"/>
      <c r="AA22" s="7" t="str">
        <v>황지선 / 2004.02.20</v>
      </c>
      <c r="AB22" s="7">
        <v>-1</v>
      </c>
      <c r="AC22" s="7">
        <v>1</v>
      </c>
      <c r="AD22" s="7">
        <v>2</v>
      </c>
      <c r="AE22">
        <v>2</v>
      </c>
      <c r="AF22">
        <v>1</v>
      </c>
      <c r="AG22">
        <v>0</v>
      </c>
      <c r="AH22">
        <v>1</v>
      </c>
      <c r="AI22">
        <v>2</v>
      </c>
      <c r="AJ22">
        <v>0</v>
      </c>
      <c r="AK22">
        <v>-1</v>
      </c>
      <c r="AL22">
        <v>2</v>
      </c>
      <c r="AM22">
        <v>1</v>
      </c>
      <c r="AN22">
        <v>1</v>
      </c>
      <c r="AO22">
        <v>-1</v>
      </c>
      <c r="AP22">
        <v>-1</v>
      </c>
      <c r="AQ22">
        <v>-1</v>
      </c>
      <c r="AR22">
        <v>-1</v>
      </c>
      <c r="AS22">
        <v>1</v>
      </c>
      <c r="AT22">
        <v>25</v>
      </c>
      <c r="AU22" t="str">
        <v>N/A</v>
      </c>
      <c r="AV22">
        <v>1</v>
      </c>
    </row>
    <row r="23" spans="1:48" ht="27" thickBot="1" x14ac:dyDescent="0.3">
      <c r="A23" s="25">
        <v>22</v>
      </c>
      <c r="B23" s="25" t="s">
        <v>176</v>
      </c>
      <c r="C23" s="8" t="s">
        <v>37</v>
      </c>
      <c r="D23" s="8">
        <v>0</v>
      </c>
      <c r="E23" s="8">
        <v>1</v>
      </c>
      <c r="F23" s="8">
        <v>-2</v>
      </c>
      <c r="G23" s="8">
        <v>2</v>
      </c>
      <c r="H23" s="8">
        <v>0</v>
      </c>
      <c r="I23" s="8">
        <v>-2</v>
      </c>
      <c r="J23" s="8">
        <v>-2</v>
      </c>
      <c r="K23" s="8">
        <v>-2</v>
      </c>
      <c r="L23" s="8">
        <v>-2</v>
      </c>
      <c r="M23" s="8">
        <v>-1</v>
      </c>
      <c r="N23" s="8">
        <v>-1</v>
      </c>
      <c r="O23" s="8">
        <v>-2</v>
      </c>
      <c r="P23" s="8">
        <v>-1</v>
      </c>
      <c r="Q23" s="8">
        <v>-1</v>
      </c>
      <c r="R23" s="8">
        <v>-1</v>
      </c>
      <c r="S23" s="8">
        <v>-2</v>
      </c>
      <c r="T23" s="8">
        <v>-2</v>
      </c>
      <c r="U23" s="8">
        <v>-2</v>
      </c>
      <c r="V23" s="9">
        <v>26</v>
      </c>
      <c r="W23" s="9">
        <v>28</v>
      </c>
      <c r="X23" s="10">
        <v>1</v>
      </c>
      <c r="Y23" s="31" cm="1">
        <f t="array" ref="Y23">IFERROR(_xlfn.XMATCH(TRUE, ISNUMBER(SEARCH($B$2:$B$201, C23))), 9999)</f>
        <v>90</v>
      </c>
      <c r="Z23" s="7"/>
      <c r="AA23" s="7" t="str">
        <v>홍수지 1995.03.29</v>
      </c>
      <c r="AB23" s="7">
        <v>-2</v>
      </c>
      <c r="AC23" s="7">
        <v>1</v>
      </c>
      <c r="AD23" s="7">
        <v>1</v>
      </c>
      <c r="AE23">
        <v>1</v>
      </c>
      <c r="AF23">
        <v>1</v>
      </c>
      <c r="AG23">
        <v>-1</v>
      </c>
      <c r="AH23">
        <v>1</v>
      </c>
      <c r="AI23">
        <v>1</v>
      </c>
      <c r="AJ23">
        <v>0</v>
      </c>
      <c r="AK23">
        <v>0</v>
      </c>
      <c r="AL23">
        <v>2</v>
      </c>
      <c r="AM23">
        <v>-1</v>
      </c>
      <c r="AN23">
        <v>0</v>
      </c>
      <c r="AO23">
        <v>-1</v>
      </c>
      <c r="AP23">
        <v>1</v>
      </c>
      <c r="AQ23">
        <v>-1</v>
      </c>
      <c r="AR23">
        <v>1</v>
      </c>
      <c r="AS23">
        <v>1</v>
      </c>
      <c r="AT23">
        <v>23</v>
      </c>
      <c r="AU23" t="str">
        <v>N/A</v>
      </c>
      <c r="AV23">
        <v>1</v>
      </c>
    </row>
    <row r="24" spans="1:48" ht="27" thickBot="1" x14ac:dyDescent="0.3">
      <c r="A24" s="25">
        <v>23</v>
      </c>
      <c r="B24" s="25" t="s">
        <v>177</v>
      </c>
      <c r="C24" s="13" t="s">
        <v>38</v>
      </c>
      <c r="D24" s="4">
        <v>-1</v>
      </c>
      <c r="E24" s="4">
        <v>2</v>
      </c>
      <c r="F24" s="4">
        <v>1</v>
      </c>
      <c r="G24" s="4">
        <v>2</v>
      </c>
      <c r="H24" s="4">
        <v>-1</v>
      </c>
      <c r="I24" s="4">
        <v>-2</v>
      </c>
      <c r="J24" s="4">
        <v>-1</v>
      </c>
      <c r="K24" s="4">
        <v>1</v>
      </c>
      <c r="L24" s="4">
        <v>-1</v>
      </c>
      <c r="M24" s="4">
        <v>-1</v>
      </c>
      <c r="N24" s="4">
        <v>2</v>
      </c>
      <c r="O24" s="4">
        <v>-2</v>
      </c>
      <c r="P24" s="4">
        <v>-1</v>
      </c>
      <c r="Q24" s="4">
        <v>1</v>
      </c>
      <c r="R24" s="4">
        <v>1</v>
      </c>
      <c r="S24" s="4">
        <v>-1</v>
      </c>
      <c r="T24" s="4">
        <v>1</v>
      </c>
      <c r="U24" s="4">
        <v>2</v>
      </c>
      <c r="V24" s="5">
        <v>24</v>
      </c>
      <c r="W24" s="4" t="s">
        <v>144</v>
      </c>
      <c r="X24" s="6">
        <v>1</v>
      </c>
      <c r="Y24" s="31" cm="1">
        <f t="array" ref="Y24">IFERROR(_xlfn.XMATCH(TRUE, ISNUMBER(SEARCH($B$2:$B$201, C24))), 9999)</f>
        <v>105</v>
      </c>
      <c r="Z24" s="7"/>
      <c r="AA24" s="7" t="str">
        <v>김민혜, 19980311</v>
      </c>
      <c r="AB24" s="7">
        <v>-1</v>
      </c>
      <c r="AC24" s="7">
        <v>1</v>
      </c>
      <c r="AD24" s="7">
        <v>1</v>
      </c>
      <c r="AE24">
        <v>2</v>
      </c>
      <c r="AF24">
        <v>1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1</v>
      </c>
      <c r="AM24">
        <v>-1</v>
      </c>
      <c r="AN24">
        <v>1</v>
      </c>
      <c r="AO24">
        <v>1</v>
      </c>
      <c r="AP24">
        <v>-1</v>
      </c>
      <c r="AQ24">
        <v>-1</v>
      </c>
      <c r="AR24">
        <v>1</v>
      </c>
      <c r="AS24">
        <v>1</v>
      </c>
      <c r="AT24">
        <v>24</v>
      </c>
      <c r="AU24" t="str">
        <v>N/A</v>
      </c>
      <c r="AV24">
        <v>1</v>
      </c>
    </row>
    <row r="25" spans="1:48" ht="27" thickBot="1" x14ac:dyDescent="0.3">
      <c r="A25" s="25">
        <v>24</v>
      </c>
      <c r="B25" s="25" t="s">
        <v>178</v>
      </c>
      <c r="C25" s="14" t="s">
        <v>39</v>
      </c>
      <c r="D25" s="8">
        <v>0</v>
      </c>
      <c r="E25" s="8">
        <v>0</v>
      </c>
      <c r="F25" s="8">
        <v>0</v>
      </c>
      <c r="G25" s="8">
        <v>0</v>
      </c>
      <c r="H25" s="8">
        <v>-1</v>
      </c>
      <c r="I25" s="8">
        <v>0</v>
      </c>
      <c r="J25" s="8">
        <v>0</v>
      </c>
      <c r="K25" s="8">
        <v>-1</v>
      </c>
      <c r="L25" s="8">
        <v>0</v>
      </c>
      <c r="M25" s="8">
        <v>1</v>
      </c>
      <c r="N25" s="8">
        <v>0</v>
      </c>
      <c r="O25" s="8">
        <v>0</v>
      </c>
      <c r="P25" s="8">
        <v>0</v>
      </c>
      <c r="Q25" s="8">
        <v>1</v>
      </c>
      <c r="R25" s="8">
        <v>0</v>
      </c>
      <c r="S25" s="8">
        <v>1</v>
      </c>
      <c r="T25" s="8">
        <v>0</v>
      </c>
      <c r="U25" s="8">
        <v>0</v>
      </c>
      <c r="V25" s="9">
        <v>24</v>
      </c>
      <c r="W25" s="8" t="s">
        <v>144</v>
      </c>
      <c r="X25" s="10">
        <v>0</v>
      </c>
      <c r="Y25" s="31" cm="1">
        <f t="array" ref="Y25">IFERROR(_xlfn.XMATCH(TRUE, ISNUMBER(SEARCH($B$2:$B$201, C25))), 9999)</f>
        <v>129</v>
      </c>
      <c r="Z25" s="7"/>
      <c r="AA25" s="7" t="str">
        <v>송지나, 991203</v>
      </c>
      <c r="AB25" s="7">
        <v>-1</v>
      </c>
      <c r="AC25" s="7">
        <v>0</v>
      </c>
      <c r="AD25" s="7">
        <v>1</v>
      </c>
      <c r="AE25">
        <v>1</v>
      </c>
      <c r="AF25">
        <v>0</v>
      </c>
      <c r="AG25">
        <v>-1</v>
      </c>
      <c r="AH25">
        <v>0</v>
      </c>
      <c r="AI25">
        <v>-1</v>
      </c>
      <c r="AJ25">
        <v>-1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-1</v>
      </c>
      <c r="AQ25">
        <v>-1</v>
      </c>
      <c r="AR25">
        <v>-1</v>
      </c>
      <c r="AS25">
        <v>0</v>
      </c>
      <c r="AT25">
        <v>26</v>
      </c>
      <c r="AU25">
        <v>26</v>
      </c>
      <c r="AV25">
        <v>1</v>
      </c>
    </row>
    <row r="26" spans="1:48" ht="27" thickBot="1" x14ac:dyDescent="0.3">
      <c r="A26" s="25">
        <v>25</v>
      </c>
      <c r="B26" s="25" t="s">
        <v>179</v>
      </c>
      <c r="C26" s="14" t="s">
        <v>40</v>
      </c>
      <c r="D26" s="4">
        <v>-2</v>
      </c>
      <c r="E26" s="4">
        <v>1</v>
      </c>
      <c r="F26" s="4">
        <v>0</v>
      </c>
      <c r="G26" s="4">
        <v>2</v>
      </c>
      <c r="H26" s="4">
        <v>0</v>
      </c>
      <c r="I26" s="4">
        <v>-2</v>
      </c>
      <c r="J26" s="4">
        <v>0</v>
      </c>
      <c r="K26" s="4">
        <v>-2</v>
      </c>
      <c r="L26" s="4">
        <v>-2</v>
      </c>
      <c r="M26" s="4">
        <v>-1</v>
      </c>
      <c r="N26" s="4">
        <v>1</v>
      </c>
      <c r="O26" s="4">
        <v>-2</v>
      </c>
      <c r="P26" s="4">
        <v>-2</v>
      </c>
      <c r="Q26" s="4">
        <v>0</v>
      </c>
      <c r="R26" s="4">
        <v>-2</v>
      </c>
      <c r="S26" s="4">
        <v>-2</v>
      </c>
      <c r="T26" s="4">
        <v>-2</v>
      </c>
      <c r="U26" s="4">
        <v>1</v>
      </c>
      <c r="V26" s="5">
        <v>28</v>
      </c>
      <c r="W26" s="4" t="s">
        <v>144</v>
      </c>
      <c r="X26" s="6">
        <v>-1</v>
      </c>
      <c r="Y26" s="31" cm="1">
        <f t="array" ref="Y26">IFERROR(_xlfn.XMATCH(TRUE, ISNUMBER(SEARCH($B$2:$B$201, C26))), 9999)</f>
        <v>129</v>
      </c>
      <c r="Z26" s="7"/>
      <c r="AA26" s="7" t="str">
        <v>김종호 050929</v>
      </c>
      <c r="AB26" s="7">
        <v>0</v>
      </c>
      <c r="AC26" s="7">
        <v>0</v>
      </c>
      <c r="AD26" s="7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-1</v>
      </c>
      <c r="AL26">
        <v>-1</v>
      </c>
      <c r="AM26">
        <v>-1</v>
      </c>
      <c r="AN26">
        <v>-1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23</v>
      </c>
      <c r="AU26" t="str">
        <v>N/A</v>
      </c>
      <c r="AV26">
        <v>2</v>
      </c>
    </row>
    <row r="27" spans="1:48" ht="27" thickBot="1" x14ac:dyDescent="0.3">
      <c r="A27" s="25">
        <v>26</v>
      </c>
      <c r="B27" s="25" t="s">
        <v>180</v>
      </c>
      <c r="C27" s="8" t="s">
        <v>41</v>
      </c>
      <c r="D27" s="8">
        <v>-1</v>
      </c>
      <c r="E27" s="8">
        <v>1</v>
      </c>
      <c r="F27" s="8">
        <v>2</v>
      </c>
      <c r="G27" s="8">
        <v>2</v>
      </c>
      <c r="H27" s="8">
        <v>1</v>
      </c>
      <c r="I27" s="8">
        <v>0</v>
      </c>
      <c r="J27" s="8">
        <v>1</v>
      </c>
      <c r="K27" s="8">
        <v>2</v>
      </c>
      <c r="L27" s="8">
        <v>0</v>
      </c>
      <c r="M27" s="8">
        <v>-1</v>
      </c>
      <c r="N27" s="8">
        <v>2</v>
      </c>
      <c r="O27" s="8">
        <v>1</v>
      </c>
      <c r="P27" s="8">
        <v>1</v>
      </c>
      <c r="Q27" s="8">
        <v>-1</v>
      </c>
      <c r="R27" s="8">
        <v>-1</v>
      </c>
      <c r="S27" s="8">
        <v>-1</v>
      </c>
      <c r="T27" s="8">
        <v>-1</v>
      </c>
      <c r="U27" s="8">
        <v>1</v>
      </c>
      <c r="V27" s="8">
        <v>25</v>
      </c>
      <c r="W27" s="8" t="s">
        <v>144</v>
      </c>
      <c r="X27" s="10">
        <v>1</v>
      </c>
      <c r="Y27" s="31" cm="1">
        <f t="array" ref="Y27">IFERROR(_xlfn.XMATCH(TRUE, ISNUMBER(SEARCH($B$2:$B$201, C27))), 9999)</f>
        <v>21</v>
      </c>
      <c r="Z27" s="7"/>
      <c r="AA27" s="7" t="str">
        <v>김찬휘 2002.06.05</v>
      </c>
      <c r="AB27" s="7">
        <v>-2</v>
      </c>
      <c r="AC27" s="7">
        <v>1</v>
      </c>
      <c r="AD27" s="7">
        <v>1</v>
      </c>
      <c r="AE27">
        <v>0</v>
      </c>
      <c r="AF27">
        <v>0</v>
      </c>
      <c r="AG27">
        <v>-2</v>
      </c>
      <c r="AH27">
        <v>0</v>
      </c>
      <c r="AI27">
        <v>0</v>
      </c>
      <c r="AJ27">
        <v>-1</v>
      </c>
      <c r="AK27">
        <v>0</v>
      </c>
      <c r="AL27">
        <v>-1</v>
      </c>
      <c r="AM27">
        <v>-1</v>
      </c>
      <c r="AN27">
        <v>-2</v>
      </c>
      <c r="AO27">
        <v>0</v>
      </c>
      <c r="AP27">
        <v>-1</v>
      </c>
      <c r="AQ27">
        <v>-2</v>
      </c>
      <c r="AR27">
        <v>-2</v>
      </c>
      <c r="AS27">
        <v>0</v>
      </c>
      <c r="AT27">
        <v>24</v>
      </c>
      <c r="AU27" t="str">
        <v>N/A</v>
      </c>
      <c r="AV27">
        <v>1</v>
      </c>
    </row>
    <row r="28" spans="1:48" ht="27" thickBot="1" x14ac:dyDescent="0.3">
      <c r="A28" s="25">
        <v>27</v>
      </c>
      <c r="B28" s="25" t="s">
        <v>181</v>
      </c>
      <c r="C28" s="4" t="s">
        <v>42</v>
      </c>
      <c r="D28" s="4">
        <v>-2</v>
      </c>
      <c r="E28" s="4">
        <v>2</v>
      </c>
      <c r="F28" s="4">
        <v>2</v>
      </c>
      <c r="G28" s="4">
        <v>2</v>
      </c>
      <c r="H28" s="4">
        <v>2</v>
      </c>
      <c r="I28" s="4">
        <v>2</v>
      </c>
      <c r="J28" s="4">
        <v>2</v>
      </c>
      <c r="K28" s="4">
        <v>2</v>
      </c>
      <c r="L28" s="4">
        <v>2</v>
      </c>
      <c r="M28" s="4">
        <v>2</v>
      </c>
      <c r="N28" s="4">
        <v>2</v>
      </c>
      <c r="O28" s="4">
        <v>2</v>
      </c>
      <c r="P28" s="4">
        <v>2</v>
      </c>
      <c r="Q28" s="4">
        <v>2</v>
      </c>
      <c r="R28" s="4">
        <v>1</v>
      </c>
      <c r="S28" s="4">
        <v>-1</v>
      </c>
      <c r="T28" s="4">
        <v>2</v>
      </c>
      <c r="U28" s="4">
        <v>2</v>
      </c>
      <c r="V28" s="5">
        <v>26</v>
      </c>
      <c r="W28" s="5">
        <v>23</v>
      </c>
      <c r="X28" s="6">
        <v>1</v>
      </c>
      <c r="Y28" s="31" cm="1">
        <f t="array" ref="Y28">IFERROR(_xlfn.XMATCH(TRUE, ISNUMBER(SEARCH($B$2:$B$201, C28))), 9999)</f>
        <v>78</v>
      </c>
      <c r="Z28" s="7"/>
      <c r="AA28" s="7" t="str">
        <v>유연우 951106</v>
      </c>
      <c r="AB28" s="7">
        <v>-2</v>
      </c>
      <c r="AC28" s="7">
        <v>2</v>
      </c>
      <c r="AD28" s="7">
        <v>0</v>
      </c>
      <c r="AE28">
        <v>2</v>
      </c>
      <c r="AF28">
        <v>2</v>
      </c>
      <c r="AG28">
        <v>-2</v>
      </c>
      <c r="AH28">
        <v>2</v>
      </c>
      <c r="AI28">
        <v>-2</v>
      </c>
      <c r="AJ28">
        <v>-2</v>
      </c>
      <c r="AK28">
        <v>-2</v>
      </c>
      <c r="AL28">
        <v>2</v>
      </c>
      <c r="AM28">
        <v>-2</v>
      </c>
      <c r="AN28">
        <v>-2</v>
      </c>
      <c r="AO28">
        <v>-2</v>
      </c>
      <c r="AP28">
        <v>1</v>
      </c>
      <c r="AQ28">
        <v>-2</v>
      </c>
      <c r="AR28">
        <v>-2</v>
      </c>
      <c r="AS28">
        <v>2</v>
      </c>
      <c r="AT28">
        <v>25</v>
      </c>
      <c r="AU28">
        <v>27</v>
      </c>
      <c r="AV28">
        <v>0</v>
      </c>
    </row>
    <row r="29" spans="1:48" ht="27" thickBot="1" x14ac:dyDescent="0.3">
      <c r="A29" s="25">
        <v>28</v>
      </c>
      <c r="B29" s="25" t="s">
        <v>182</v>
      </c>
      <c r="C29" s="8" t="s">
        <v>43</v>
      </c>
      <c r="D29" s="8">
        <v>1</v>
      </c>
      <c r="E29" s="8">
        <v>1</v>
      </c>
      <c r="F29" s="8">
        <v>0</v>
      </c>
      <c r="G29" s="8">
        <v>1</v>
      </c>
      <c r="H29" s="8">
        <v>-1</v>
      </c>
      <c r="I29" s="8">
        <v>-1</v>
      </c>
      <c r="J29" s="8">
        <v>0</v>
      </c>
      <c r="K29" s="8">
        <v>-2</v>
      </c>
      <c r="L29" s="8">
        <v>-1</v>
      </c>
      <c r="M29" s="8">
        <v>-1</v>
      </c>
      <c r="N29" s="8">
        <v>1</v>
      </c>
      <c r="O29" s="8">
        <v>-1</v>
      </c>
      <c r="P29" s="8">
        <v>-1</v>
      </c>
      <c r="Q29" s="8">
        <v>-1</v>
      </c>
      <c r="R29" s="8">
        <v>-1</v>
      </c>
      <c r="S29" s="8">
        <v>-2</v>
      </c>
      <c r="T29" s="8">
        <v>-2</v>
      </c>
      <c r="U29" s="8">
        <v>0</v>
      </c>
      <c r="V29" s="9">
        <v>22</v>
      </c>
      <c r="W29" s="8" t="s">
        <v>144</v>
      </c>
      <c r="X29" s="10">
        <v>1</v>
      </c>
      <c r="Y29" s="31" cm="1">
        <f t="array" ref="Y29">IFERROR(_xlfn.XMATCH(TRUE, ISNUMBER(SEARCH($B$2:$B$201, C29))), 9999)</f>
        <v>129</v>
      </c>
      <c r="Z29" s="7"/>
      <c r="AA29" s="7" t="str">
        <v>허진수 890720</v>
      </c>
      <c r="AB29" s="7">
        <v>1</v>
      </c>
      <c r="AC29" s="7">
        <v>-1</v>
      </c>
      <c r="AD29" s="7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1</v>
      </c>
      <c r="AN29">
        <v>-1</v>
      </c>
      <c r="AO29">
        <v>-1</v>
      </c>
      <c r="AP29">
        <v>-1</v>
      </c>
      <c r="AQ29">
        <v>1</v>
      </c>
      <c r="AR29">
        <v>-1</v>
      </c>
      <c r="AS29">
        <v>-1</v>
      </c>
      <c r="AT29" t="str">
        <v>N/A</v>
      </c>
      <c r="AU29">
        <v>24</v>
      </c>
      <c r="AV29">
        <v>1</v>
      </c>
    </row>
    <row r="30" spans="1:48" ht="27" thickBot="1" x14ac:dyDescent="0.3">
      <c r="A30" s="25">
        <v>29</v>
      </c>
      <c r="B30" s="25" t="s">
        <v>183</v>
      </c>
      <c r="C30" s="4" t="s">
        <v>44</v>
      </c>
      <c r="D30" s="4">
        <v>-1</v>
      </c>
      <c r="E30" s="4">
        <v>2</v>
      </c>
      <c r="F30" s="4">
        <v>2</v>
      </c>
      <c r="G30" s="4">
        <v>2</v>
      </c>
      <c r="H30" s="4">
        <v>1</v>
      </c>
      <c r="I30" s="4">
        <v>-2</v>
      </c>
      <c r="J30" s="4">
        <v>2</v>
      </c>
      <c r="K30" s="4">
        <v>-2</v>
      </c>
      <c r="L30" s="4">
        <v>-2</v>
      </c>
      <c r="M30" s="4">
        <v>-1</v>
      </c>
      <c r="N30" s="4">
        <v>2</v>
      </c>
      <c r="O30" s="4">
        <v>0</v>
      </c>
      <c r="P30" s="4">
        <v>-2</v>
      </c>
      <c r="Q30" s="4">
        <v>-1</v>
      </c>
      <c r="R30" s="4">
        <v>-1</v>
      </c>
      <c r="S30" s="4">
        <v>-2</v>
      </c>
      <c r="T30" s="4">
        <v>-2</v>
      </c>
      <c r="U30" s="4">
        <v>2</v>
      </c>
      <c r="V30" s="5">
        <v>24</v>
      </c>
      <c r="W30" s="4" t="s">
        <v>144</v>
      </c>
      <c r="X30" s="6">
        <v>2</v>
      </c>
      <c r="Y30" s="31" cm="1">
        <f t="array" ref="Y30">IFERROR(_xlfn.XMATCH(TRUE, ISNUMBER(SEARCH($B$2:$B$201, C30))), 9999)</f>
        <v>129</v>
      </c>
      <c r="Z30" s="7"/>
      <c r="AA30" s="7" t="str">
        <v>심은서 2002.05.08</v>
      </c>
      <c r="AB30" s="7">
        <v>-1</v>
      </c>
      <c r="AC30" s="7">
        <v>1</v>
      </c>
      <c r="AD30" s="7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-1</v>
      </c>
      <c r="AP30">
        <v>1</v>
      </c>
      <c r="AQ30">
        <v>0</v>
      </c>
      <c r="AR30">
        <v>1</v>
      </c>
      <c r="AS30">
        <v>1</v>
      </c>
      <c r="AT30" t="str">
        <v>N/A</v>
      </c>
      <c r="AU30" t="str">
        <v>N/A</v>
      </c>
      <c r="AV30">
        <v>-1</v>
      </c>
    </row>
    <row r="31" spans="1:48" ht="27" thickBot="1" x14ac:dyDescent="0.3">
      <c r="A31" s="25">
        <v>30</v>
      </c>
      <c r="B31" s="25" t="s">
        <v>184</v>
      </c>
      <c r="C31" s="8" t="s">
        <v>45</v>
      </c>
      <c r="D31" s="8">
        <v>-2</v>
      </c>
      <c r="E31" s="8">
        <v>1</v>
      </c>
      <c r="F31" s="8">
        <v>1</v>
      </c>
      <c r="G31" s="8">
        <v>1</v>
      </c>
      <c r="H31" s="8">
        <v>1</v>
      </c>
      <c r="I31" s="8">
        <v>-1</v>
      </c>
      <c r="J31" s="8">
        <v>1</v>
      </c>
      <c r="K31" s="8">
        <v>-1</v>
      </c>
      <c r="L31" s="8">
        <v>-1</v>
      </c>
      <c r="M31" s="8">
        <v>-1</v>
      </c>
      <c r="N31" s="8">
        <v>1</v>
      </c>
      <c r="O31" s="8">
        <v>-1</v>
      </c>
      <c r="P31" s="8">
        <v>0</v>
      </c>
      <c r="Q31" s="8">
        <v>1</v>
      </c>
      <c r="R31" s="8">
        <v>1</v>
      </c>
      <c r="S31" s="8">
        <v>-2</v>
      </c>
      <c r="T31" s="8">
        <v>-2</v>
      </c>
      <c r="U31" s="8">
        <v>1</v>
      </c>
      <c r="V31" s="9">
        <v>26</v>
      </c>
      <c r="W31" s="8" t="s">
        <v>144</v>
      </c>
      <c r="X31" s="10">
        <v>-1</v>
      </c>
      <c r="Y31" s="31" cm="1">
        <f t="array" ref="Y31">IFERROR(_xlfn.XMATCH(TRUE, ISNUMBER(SEARCH($B$2:$B$201, C31))), 9999)</f>
        <v>13</v>
      </c>
      <c r="Z31" s="7"/>
      <c r="AA31" s="7" t="str">
        <v>주기경 970201</v>
      </c>
      <c r="AB31" s="7">
        <v>-2</v>
      </c>
      <c r="AC31" s="7">
        <v>0</v>
      </c>
      <c r="AD31" s="7">
        <v>0</v>
      </c>
      <c r="AE31">
        <v>1</v>
      </c>
      <c r="AF31">
        <v>1</v>
      </c>
      <c r="AG31">
        <v>-2</v>
      </c>
      <c r="AH31">
        <v>1</v>
      </c>
      <c r="AI31">
        <v>-1</v>
      </c>
      <c r="AJ31">
        <v>0</v>
      </c>
      <c r="AK31">
        <v>-2</v>
      </c>
      <c r="AL31">
        <v>1</v>
      </c>
      <c r="AM31">
        <v>-2</v>
      </c>
      <c r="AN31">
        <v>-1</v>
      </c>
      <c r="AO31">
        <v>-2</v>
      </c>
      <c r="AP31">
        <v>0</v>
      </c>
      <c r="AQ31">
        <v>-2</v>
      </c>
      <c r="AR31">
        <v>0</v>
      </c>
      <c r="AS31">
        <v>0</v>
      </c>
      <c r="AT31">
        <v>26</v>
      </c>
      <c r="AU31" t="str">
        <v>N/A</v>
      </c>
      <c r="AV31">
        <v>1</v>
      </c>
    </row>
    <row r="32" spans="1:48" ht="27" thickBot="1" x14ac:dyDescent="0.3">
      <c r="A32" s="25">
        <v>31</v>
      </c>
      <c r="B32" s="25" t="s">
        <v>185</v>
      </c>
      <c r="C32" s="4" t="s">
        <v>46</v>
      </c>
      <c r="D32" s="4">
        <v>-1</v>
      </c>
      <c r="E32" s="4">
        <v>0</v>
      </c>
      <c r="F32" s="4">
        <v>0</v>
      </c>
      <c r="G32" s="4">
        <v>1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s="4">
        <v>-1</v>
      </c>
      <c r="N32" s="4">
        <v>1</v>
      </c>
      <c r="O32" s="4">
        <v>-2</v>
      </c>
      <c r="P32" s="4">
        <v>0</v>
      </c>
      <c r="Q32" s="4">
        <v>0</v>
      </c>
      <c r="R32" s="4">
        <v>-1</v>
      </c>
      <c r="S32" s="4">
        <v>-1</v>
      </c>
      <c r="T32" s="4">
        <v>1</v>
      </c>
      <c r="U32" s="4">
        <v>0</v>
      </c>
      <c r="V32" s="4">
        <v>23</v>
      </c>
      <c r="W32" s="4" t="s">
        <v>144</v>
      </c>
      <c r="X32" s="6">
        <v>1</v>
      </c>
      <c r="Y32" s="31" cm="1">
        <f t="array" ref="Y32">IFERROR(_xlfn.XMATCH(TRUE, ISNUMBER(SEARCH($B$2:$B$201, C32))), 9999)</f>
        <v>86</v>
      </c>
      <c r="Z32" s="7"/>
      <c r="AA32" s="7" t="str">
        <v>이수연, 960813</v>
      </c>
      <c r="AB32" s="7">
        <v>-1</v>
      </c>
      <c r="AC32" s="7">
        <v>1</v>
      </c>
      <c r="AD32" s="7">
        <v>1</v>
      </c>
      <c r="AE32">
        <v>2</v>
      </c>
      <c r="AF32">
        <v>1</v>
      </c>
      <c r="AG32">
        <v>-1</v>
      </c>
      <c r="AH32">
        <v>1</v>
      </c>
      <c r="AI32">
        <v>-1</v>
      </c>
      <c r="AJ32">
        <v>0</v>
      </c>
      <c r="AK32">
        <v>-1</v>
      </c>
      <c r="AL32">
        <v>1</v>
      </c>
      <c r="AM32">
        <v>0</v>
      </c>
      <c r="AN32">
        <v>-1</v>
      </c>
      <c r="AO32">
        <v>1</v>
      </c>
      <c r="AP32">
        <v>0</v>
      </c>
      <c r="AQ32">
        <v>-2</v>
      </c>
      <c r="AR32">
        <v>-2</v>
      </c>
      <c r="AS32">
        <v>1</v>
      </c>
      <c r="AT32">
        <v>27</v>
      </c>
      <c r="AU32" t="str">
        <v>N/A</v>
      </c>
      <c r="AV32">
        <v>1</v>
      </c>
    </row>
    <row r="33" spans="1:48" ht="27" thickBot="1" x14ac:dyDescent="0.3">
      <c r="A33" s="26">
        <v>32</v>
      </c>
      <c r="B33" s="26" t="s">
        <v>186</v>
      </c>
      <c r="C33" s="8" t="s">
        <v>47</v>
      </c>
      <c r="D33" s="8">
        <v>-2</v>
      </c>
      <c r="E33" s="8">
        <v>1</v>
      </c>
      <c r="F33" s="8">
        <v>1</v>
      </c>
      <c r="G33" s="8">
        <v>1</v>
      </c>
      <c r="H33" s="8">
        <v>1</v>
      </c>
      <c r="I33" s="8">
        <v>-1</v>
      </c>
      <c r="J33" s="8">
        <v>1</v>
      </c>
      <c r="K33" s="8">
        <v>1</v>
      </c>
      <c r="L33" s="8">
        <v>0</v>
      </c>
      <c r="M33" s="8">
        <v>0</v>
      </c>
      <c r="N33" s="8">
        <v>2</v>
      </c>
      <c r="O33" s="8">
        <v>-1</v>
      </c>
      <c r="P33" s="8">
        <v>0</v>
      </c>
      <c r="Q33" s="8">
        <v>-1</v>
      </c>
      <c r="R33" s="8">
        <v>1</v>
      </c>
      <c r="S33" s="8">
        <v>-1</v>
      </c>
      <c r="T33" s="8">
        <v>1</v>
      </c>
      <c r="U33" s="8">
        <v>1</v>
      </c>
      <c r="V33" s="8">
        <v>23</v>
      </c>
      <c r="W33" s="8" t="s">
        <v>144</v>
      </c>
      <c r="X33" s="10">
        <v>1</v>
      </c>
      <c r="Y33" s="31" cm="1">
        <f t="array" ref="Y33">IFERROR(_xlfn.XMATCH(TRUE, ISNUMBER(SEARCH($B$2:$B$201, C33))), 9999)</f>
        <v>22</v>
      </c>
      <c r="Z33" s="7"/>
      <c r="AA33" s="7" t="str">
        <v>김효진 980130</v>
      </c>
      <c r="AB33" s="7">
        <v>0</v>
      </c>
      <c r="AC33" s="7">
        <v>1</v>
      </c>
      <c r="AD33" s="7">
        <v>-2</v>
      </c>
      <c r="AE33">
        <v>1</v>
      </c>
      <c r="AF33">
        <v>1</v>
      </c>
      <c r="AG33">
        <v>-1</v>
      </c>
      <c r="AH33">
        <v>1</v>
      </c>
      <c r="AI33">
        <v>-2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-2</v>
      </c>
      <c r="AR33">
        <v>-1</v>
      </c>
      <c r="AS33">
        <v>-1</v>
      </c>
      <c r="AT33">
        <v>18</v>
      </c>
      <c r="AU33">
        <v>23</v>
      </c>
      <c r="AV33">
        <v>1</v>
      </c>
    </row>
    <row r="34" spans="1:48" ht="27" thickBot="1" x14ac:dyDescent="0.3">
      <c r="A34" s="25">
        <v>33</v>
      </c>
      <c r="B34" s="25" t="s">
        <v>187</v>
      </c>
      <c r="C34" s="4" t="s">
        <v>48</v>
      </c>
      <c r="D34" s="4">
        <v>-2</v>
      </c>
      <c r="E34" s="4">
        <v>2</v>
      </c>
      <c r="F34" s="4">
        <v>2</v>
      </c>
      <c r="G34" s="4">
        <v>2</v>
      </c>
      <c r="H34" s="4">
        <v>2</v>
      </c>
      <c r="I34" s="4">
        <v>-2</v>
      </c>
      <c r="J34" s="4">
        <v>2</v>
      </c>
      <c r="K34" s="4">
        <v>2</v>
      </c>
      <c r="L34" s="4">
        <v>1</v>
      </c>
      <c r="M34" s="4">
        <v>-2</v>
      </c>
      <c r="N34" s="4">
        <v>2</v>
      </c>
      <c r="O34" s="4">
        <v>-2</v>
      </c>
      <c r="P34" s="4">
        <v>1</v>
      </c>
      <c r="Q34" s="4">
        <v>-1</v>
      </c>
      <c r="R34" s="4">
        <v>2</v>
      </c>
      <c r="S34" s="4">
        <v>-2</v>
      </c>
      <c r="T34" s="4">
        <v>-1</v>
      </c>
      <c r="U34" s="4">
        <v>2</v>
      </c>
      <c r="V34" s="5">
        <v>24</v>
      </c>
      <c r="W34" s="4" t="s">
        <v>144</v>
      </c>
      <c r="X34" s="6">
        <v>1</v>
      </c>
      <c r="Y34" s="31" cm="1">
        <f t="array" ref="Y34">IFERROR(_xlfn.XMATCH(TRUE, ISNUMBER(SEARCH($B$2:$B$201, C34))), 9999)</f>
        <v>1</v>
      </c>
      <c r="Z34" s="7"/>
      <c r="AA34" s="7" t="str">
        <v>최재웅, 001212</v>
      </c>
      <c r="AB34" s="7">
        <v>1</v>
      </c>
      <c r="AC34" s="7">
        <v>-1</v>
      </c>
      <c r="AD34" s="7">
        <v>0</v>
      </c>
      <c r="AE34">
        <v>0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0</v>
      </c>
      <c r="AM34">
        <v>0</v>
      </c>
      <c r="AN34">
        <v>-1</v>
      </c>
      <c r="AO34">
        <v>1</v>
      </c>
      <c r="AP34">
        <v>-1</v>
      </c>
      <c r="AQ34">
        <v>-1</v>
      </c>
      <c r="AR34">
        <v>-1</v>
      </c>
      <c r="AS34">
        <v>0</v>
      </c>
      <c r="AT34">
        <v>22</v>
      </c>
      <c r="AU34" t="str">
        <v>N/A</v>
      </c>
      <c r="AV34">
        <v>1</v>
      </c>
    </row>
    <row r="35" spans="1:48" ht="39.75" thickBot="1" x14ac:dyDescent="0.3">
      <c r="A35" s="25">
        <v>34</v>
      </c>
      <c r="B35" s="25" t="s">
        <v>188</v>
      </c>
      <c r="C35" s="8" t="s">
        <v>49</v>
      </c>
      <c r="D35" s="8">
        <v>-2</v>
      </c>
      <c r="E35" s="8">
        <v>2</v>
      </c>
      <c r="F35" s="8">
        <v>2</v>
      </c>
      <c r="G35" s="8">
        <v>2</v>
      </c>
      <c r="H35" s="8">
        <v>2</v>
      </c>
      <c r="I35" s="8">
        <v>-1</v>
      </c>
      <c r="J35" s="8">
        <v>2</v>
      </c>
      <c r="K35" s="8">
        <v>1</v>
      </c>
      <c r="L35" s="8">
        <v>2</v>
      </c>
      <c r="M35" s="8">
        <v>-1</v>
      </c>
      <c r="N35" s="8">
        <v>2</v>
      </c>
      <c r="O35" s="8">
        <v>-1</v>
      </c>
      <c r="P35" s="8">
        <v>2</v>
      </c>
      <c r="Q35" s="8">
        <v>-1</v>
      </c>
      <c r="R35" s="8">
        <v>2</v>
      </c>
      <c r="S35" s="8">
        <v>-1</v>
      </c>
      <c r="T35" s="8">
        <v>1</v>
      </c>
      <c r="U35" s="8">
        <v>2</v>
      </c>
      <c r="V35" s="9">
        <v>24</v>
      </c>
      <c r="W35" s="9">
        <v>24</v>
      </c>
      <c r="X35" s="10">
        <v>0</v>
      </c>
      <c r="Y35" s="31" cm="1">
        <f t="array" ref="Y35">IFERROR(_xlfn.XMATCH(TRUE, ISNUMBER(SEARCH($B$2:$B$201, C35))), 9999)</f>
        <v>34</v>
      </c>
      <c r="Z35" s="7"/>
      <c r="AA35" s="7" t="str">
        <v>김근우/20040118</v>
      </c>
      <c r="AB35" s="7">
        <v>-2</v>
      </c>
      <c r="AC35" s="7">
        <v>2</v>
      </c>
      <c r="AD35" s="7">
        <v>2</v>
      </c>
      <c r="AE35">
        <v>2</v>
      </c>
      <c r="AF35">
        <v>2</v>
      </c>
      <c r="AG35">
        <v>-1</v>
      </c>
      <c r="AH35">
        <v>2</v>
      </c>
      <c r="AI35">
        <v>1</v>
      </c>
      <c r="AJ35">
        <v>2</v>
      </c>
      <c r="AK35">
        <v>-1</v>
      </c>
      <c r="AL35">
        <v>2</v>
      </c>
      <c r="AM35">
        <v>-1</v>
      </c>
      <c r="AN35">
        <v>2</v>
      </c>
      <c r="AO35">
        <v>-1</v>
      </c>
      <c r="AP35">
        <v>2</v>
      </c>
      <c r="AQ35">
        <v>-1</v>
      </c>
      <c r="AR35">
        <v>1</v>
      </c>
      <c r="AS35">
        <v>2</v>
      </c>
      <c r="AT35">
        <v>24</v>
      </c>
      <c r="AU35">
        <v>24</v>
      </c>
      <c r="AV35">
        <v>0</v>
      </c>
    </row>
    <row r="36" spans="1:48" ht="27" thickBot="1" x14ac:dyDescent="0.3">
      <c r="A36" s="25">
        <v>35</v>
      </c>
      <c r="B36" s="25" t="s">
        <v>189</v>
      </c>
      <c r="C36" s="17" t="s">
        <v>50</v>
      </c>
      <c r="D36" s="17">
        <v>1</v>
      </c>
      <c r="E36" s="17">
        <v>2</v>
      </c>
      <c r="F36" s="17">
        <v>0</v>
      </c>
      <c r="G36" s="17">
        <v>1</v>
      </c>
      <c r="H36" s="17">
        <v>2</v>
      </c>
      <c r="I36" s="17">
        <v>-1</v>
      </c>
      <c r="J36" s="17">
        <v>0</v>
      </c>
      <c r="K36" s="17">
        <v>0</v>
      </c>
      <c r="L36" s="17">
        <v>1</v>
      </c>
      <c r="M36" s="17">
        <v>2</v>
      </c>
      <c r="N36" s="17">
        <v>2</v>
      </c>
      <c r="O36" s="17">
        <v>-2</v>
      </c>
      <c r="P36" s="17">
        <v>-1</v>
      </c>
      <c r="Q36" s="17">
        <v>0</v>
      </c>
      <c r="R36" s="17">
        <v>0</v>
      </c>
      <c r="S36" s="17">
        <v>-2</v>
      </c>
      <c r="T36" s="17">
        <v>0</v>
      </c>
      <c r="U36" s="17">
        <v>0</v>
      </c>
      <c r="V36" s="18">
        <v>21</v>
      </c>
      <c r="W36" s="18">
        <v>26</v>
      </c>
      <c r="X36" s="19">
        <v>1</v>
      </c>
      <c r="Y36" s="31" cm="1">
        <f t="array" ref="Y36">IFERROR(_xlfn.XMATCH(TRUE, ISNUMBER(SEARCH($B$2:$B$201, C36))), 9999)</f>
        <v>9</v>
      </c>
      <c r="Z36" s="7"/>
      <c r="AA36" s="7" t="str">
        <v>김무빈/001101</v>
      </c>
      <c r="AB36" s="7">
        <v>0</v>
      </c>
      <c r="AC36" s="7">
        <v>2</v>
      </c>
      <c r="AD36" s="7">
        <v>2</v>
      </c>
      <c r="AE36">
        <v>2</v>
      </c>
      <c r="AF36">
        <v>1</v>
      </c>
      <c r="AG36">
        <v>0</v>
      </c>
      <c r="AH36">
        <v>-1</v>
      </c>
      <c r="AI36">
        <v>1</v>
      </c>
      <c r="AJ36">
        <v>-1</v>
      </c>
      <c r="AK36">
        <v>1</v>
      </c>
      <c r="AL36">
        <v>2</v>
      </c>
      <c r="AM36">
        <v>-2</v>
      </c>
      <c r="AN36">
        <v>-1</v>
      </c>
      <c r="AO36">
        <v>-2</v>
      </c>
      <c r="AP36">
        <v>-2</v>
      </c>
      <c r="AQ36">
        <v>-1</v>
      </c>
      <c r="AR36">
        <v>-1</v>
      </c>
      <c r="AS36">
        <v>2</v>
      </c>
      <c r="AT36" t="str">
        <v>N/A</v>
      </c>
      <c r="AU36" t="str">
        <v>N/A</v>
      </c>
      <c r="AV36">
        <v>0</v>
      </c>
    </row>
    <row r="37" spans="1:48" ht="27" thickBot="1" x14ac:dyDescent="0.3">
      <c r="A37" s="25">
        <v>36</v>
      </c>
      <c r="B37" s="25" t="s">
        <v>190</v>
      </c>
      <c r="C37" s="36" t="s">
        <v>284</v>
      </c>
      <c r="D37" s="4">
        <v>-1</v>
      </c>
      <c r="E37" s="4">
        <v>0</v>
      </c>
      <c r="F37" s="4">
        <v>0</v>
      </c>
      <c r="G37" s="4">
        <v>1</v>
      </c>
      <c r="H37" s="4">
        <v>0</v>
      </c>
      <c r="I37" s="4">
        <v>-1</v>
      </c>
      <c r="J37" s="4">
        <v>-1</v>
      </c>
      <c r="K37" s="4">
        <v>0</v>
      </c>
      <c r="L37" s="4">
        <v>-1</v>
      </c>
      <c r="M37" s="4">
        <v>-1</v>
      </c>
      <c r="N37" s="4">
        <v>1</v>
      </c>
      <c r="O37" s="4">
        <v>-1</v>
      </c>
      <c r="P37" s="4">
        <v>-1</v>
      </c>
      <c r="Q37" s="4">
        <v>-1</v>
      </c>
      <c r="R37" s="4">
        <v>-1</v>
      </c>
      <c r="S37" s="4">
        <v>-1</v>
      </c>
      <c r="T37" s="4">
        <v>-1</v>
      </c>
      <c r="U37" s="4">
        <v>1</v>
      </c>
      <c r="V37" s="4">
        <v>22</v>
      </c>
      <c r="W37" s="4">
        <v>27</v>
      </c>
      <c r="X37" s="6">
        <v>1</v>
      </c>
      <c r="Y37" s="31" cm="1">
        <f t="array" ref="Y37">IFERROR(_xlfn.XMATCH(TRUE, ISNUMBER(SEARCH($B$2:$B$201, C37))), 9999)</f>
        <v>84</v>
      </c>
      <c r="Z37" s="7"/>
      <c r="AA37" s="7" t="str">
        <v>김원 20001125</v>
      </c>
      <c r="AB37" s="7">
        <v>-1</v>
      </c>
      <c r="AC37" s="7">
        <v>2</v>
      </c>
      <c r="AD37" s="7">
        <v>2</v>
      </c>
      <c r="AE37">
        <v>2</v>
      </c>
      <c r="AF37">
        <v>0</v>
      </c>
      <c r="AG37">
        <v>-1</v>
      </c>
      <c r="AH37">
        <v>0</v>
      </c>
      <c r="AI37">
        <v>-1</v>
      </c>
      <c r="AJ37">
        <v>0</v>
      </c>
      <c r="AK37">
        <v>-2</v>
      </c>
      <c r="AL37">
        <v>2</v>
      </c>
      <c r="AM37">
        <v>-1</v>
      </c>
      <c r="AN37">
        <v>0</v>
      </c>
      <c r="AO37">
        <v>-2</v>
      </c>
      <c r="AP37">
        <v>2</v>
      </c>
      <c r="AQ37">
        <v>-2</v>
      </c>
      <c r="AR37">
        <v>-1</v>
      </c>
      <c r="AS37">
        <v>1</v>
      </c>
      <c r="AT37">
        <v>22</v>
      </c>
      <c r="AU37">
        <v>24</v>
      </c>
      <c r="AV37">
        <v>2</v>
      </c>
    </row>
    <row r="38" spans="1:48" ht="27" thickBot="1" x14ac:dyDescent="0.3">
      <c r="A38" s="25">
        <v>37</v>
      </c>
      <c r="B38" s="25" t="s">
        <v>191</v>
      </c>
      <c r="C38" s="8" t="s">
        <v>51</v>
      </c>
      <c r="D38" s="8">
        <v>0</v>
      </c>
      <c r="E38" s="8">
        <v>0</v>
      </c>
      <c r="F38" s="8">
        <v>-2</v>
      </c>
      <c r="G38" s="8">
        <v>0</v>
      </c>
      <c r="H38" s="8">
        <v>0</v>
      </c>
      <c r="I38" s="8">
        <v>-1</v>
      </c>
      <c r="J38" s="8">
        <v>-1</v>
      </c>
      <c r="K38" s="8">
        <v>1</v>
      </c>
      <c r="L38" s="8">
        <v>-1</v>
      </c>
      <c r="M38" s="8">
        <v>-2</v>
      </c>
      <c r="N38" s="8">
        <v>0</v>
      </c>
      <c r="O38" s="8">
        <v>1</v>
      </c>
      <c r="P38" s="8">
        <v>-1</v>
      </c>
      <c r="Q38" s="8">
        <v>1</v>
      </c>
      <c r="R38" s="8">
        <v>-1</v>
      </c>
      <c r="S38" s="8">
        <v>1</v>
      </c>
      <c r="T38" s="8">
        <v>-1</v>
      </c>
      <c r="U38" s="8">
        <v>-1</v>
      </c>
      <c r="V38" s="9">
        <v>28</v>
      </c>
      <c r="W38" s="8" t="s">
        <v>144</v>
      </c>
      <c r="X38" s="10">
        <v>1</v>
      </c>
      <c r="Y38" s="31" cm="1">
        <f t="array" ref="Y38">IFERROR(_xlfn.XMATCH(TRUE, ISNUMBER(SEARCH($B$2:$B$201, C38))), 9999)</f>
        <v>80</v>
      </c>
      <c r="Z38" s="7"/>
      <c r="AA38" s="7" t="str">
        <v>최윤서 2003.04.04</v>
      </c>
      <c r="AB38" s="7">
        <v>-2</v>
      </c>
      <c r="AC38" s="7">
        <v>2</v>
      </c>
      <c r="AD38" s="7">
        <v>0</v>
      </c>
      <c r="AE38">
        <v>1</v>
      </c>
      <c r="AF38">
        <v>2</v>
      </c>
      <c r="AG38">
        <v>0</v>
      </c>
      <c r="AH38">
        <v>1</v>
      </c>
      <c r="AI38">
        <v>2</v>
      </c>
      <c r="AJ38">
        <v>1</v>
      </c>
      <c r="AK38">
        <v>-1</v>
      </c>
      <c r="AL38">
        <v>1</v>
      </c>
      <c r="AM38">
        <v>-1</v>
      </c>
      <c r="AN38">
        <v>0</v>
      </c>
      <c r="AO38">
        <v>0</v>
      </c>
      <c r="AP38">
        <v>1</v>
      </c>
      <c r="AQ38">
        <v>-1</v>
      </c>
      <c r="AR38">
        <v>2</v>
      </c>
      <c r="AS38">
        <v>2</v>
      </c>
      <c r="AT38">
        <v>24</v>
      </c>
      <c r="AU38">
        <v>26</v>
      </c>
      <c r="AV38">
        <v>-1</v>
      </c>
    </row>
    <row r="39" spans="1:48" ht="27" thickBot="1" x14ac:dyDescent="0.3">
      <c r="A39" s="25">
        <v>38</v>
      </c>
      <c r="B39" s="25" t="s">
        <v>192</v>
      </c>
      <c r="C39" s="4" t="s">
        <v>52</v>
      </c>
      <c r="D39" s="4">
        <v>-2</v>
      </c>
      <c r="E39" s="4">
        <v>2</v>
      </c>
      <c r="F39" s="4">
        <v>2</v>
      </c>
      <c r="G39" s="4">
        <v>2</v>
      </c>
      <c r="H39" s="4">
        <v>1</v>
      </c>
      <c r="I39" s="4">
        <v>-1</v>
      </c>
      <c r="J39" s="4">
        <v>1</v>
      </c>
      <c r="K39" s="4">
        <v>1</v>
      </c>
      <c r="L39" s="4">
        <v>-1</v>
      </c>
      <c r="M39" s="4">
        <v>-2</v>
      </c>
      <c r="N39" s="4">
        <v>1</v>
      </c>
      <c r="O39" s="4">
        <v>-1</v>
      </c>
      <c r="P39" s="4">
        <v>-1</v>
      </c>
      <c r="Q39" s="4">
        <v>1</v>
      </c>
      <c r="R39" s="4">
        <v>-1</v>
      </c>
      <c r="S39" s="4">
        <v>-1</v>
      </c>
      <c r="T39" s="4">
        <v>-1</v>
      </c>
      <c r="U39" s="4">
        <v>1</v>
      </c>
      <c r="V39" s="4">
        <v>25</v>
      </c>
      <c r="W39" s="4">
        <v>27</v>
      </c>
      <c r="X39" s="6">
        <v>-1</v>
      </c>
      <c r="Y39" s="31" cm="1">
        <f t="array" ref="Y39">IFERROR(_xlfn.XMATCH(TRUE, ISNUMBER(SEARCH($B$2:$B$201, C39))), 9999)</f>
        <v>48</v>
      </c>
      <c r="Z39" s="7"/>
      <c r="AA39" s="7" t="str">
        <v>박수현 000513</v>
      </c>
      <c r="AB39" s="7">
        <v>-1</v>
      </c>
      <c r="AC39" s="7">
        <v>0</v>
      </c>
      <c r="AD39" s="7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t="str">
        <v>N/A</v>
      </c>
      <c r="AU39" t="str">
        <v>N/A</v>
      </c>
      <c r="AV39">
        <v>0</v>
      </c>
    </row>
    <row r="40" spans="1:48" ht="39.75" thickBot="1" x14ac:dyDescent="0.3">
      <c r="A40" s="25">
        <v>39</v>
      </c>
      <c r="B40" s="25" t="s">
        <v>193</v>
      </c>
      <c r="C40" s="8" t="s">
        <v>53</v>
      </c>
      <c r="D40" s="8">
        <v>-1</v>
      </c>
      <c r="E40" s="8">
        <v>0</v>
      </c>
      <c r="F40" s="8">
        <v>0</v>
      </c>
      <c r="G40" s="8">
        <v>1</v>
      </c>
      <c r="H40" s="8">
        <v>0</v>
      </c>
      <c r="I40" s="8">
        <v>-1</v>
      </c>
      <c r="J40" s="8">
        <v>0</v>
      </c>
      <c r="K40" s="8">
        <v>0</v>
      </c>
      <c r="L40" s="8">
        <v>-1</v>
      </c>
      <c r="M40" s="8">
        <v>-2</v>
      </c>
      <c r="N40" s="8">
        <v>0</v>
      </c>
      <c r="O40" s="8">
        <v>-1</v>
      </c>
      <c r="P40" s="8">
        <v>0</v>
      </c>
      <c r="Q40" s="8">
        <v>-1</v>
      </c>
      <c r="R40" s="8">
        <v>-1</v>
      </c>
      <c r="S40" s="8">
        <v>-2</v>
      </c>
      <c r="T40" s="8">
        <v>0</v>
      </c>
      <c r="U40" s="8">
        <v>0</v>
      </c>
      <c r="V40" s="9">
        <v>22</v>
      </c>
      <c r="W40" s="9">
        <v>29</v>
      </c>
      <c r="X40" s="10">
        <v>1</v>
      </c>
      <c r="Y40" s="31" cm="1">
        <f t="array" ref="Y40">IFERROR(_xlfn.XMATCH(TRUE, ISNUMBER(SEARCH($B$2:$B$201, C40))), 9999)</f>
        <v>63</v>
      </c>
      <c r="Z40" s="7"/>
      <c r="AA40" s="7" t="str">
        <v>안서현 2002.03.02.</v>
      </c>
      <c r="AB40" s="7">
        <v>-2</v>
      </c>
      <c r="AC40" s="7">
        <v>2</v>
      </c>
      <c r="AD40" s="7">
        <v>1</v>
      </c>
      <c r="AE40">
        <v>2</v>
      </c>
      <c r="AF40">
        <v>2</v>
      </c>
      <c r="AG40">
        <v>0</v>
      </c>
      <c r="AH40">
        <v>2</v>
      </c>
      <c r="AI40">
        <v>1</v>
      </c>
      <c r="AJ40">
        <v>2</v>
      </c>
      <c r="AK40">
        <v>0</v>
      </c>
      <c r="AL40">
        <v>1</v>
      </c>
      <c r="AM40">
        <v>-1</v>
      </c>
      <c r="AN40">
        <v>0</v>
      </c>
      <c r="AO40">
        <v>1</v>
      </c>
      <c r="AP40">
        <v>1</v>
      </c>
      <c r="AQ40">
        <v>-1</v>
      </c>
      <c r="AR40">
        <v>-1</v>
      </c>
      <c r="AS40">
        <v>1</v>
      </c>
      <c r="AT40">
        <v>26</v>
      </c>
      <c r="AU40" t="str">
        <v>N/A</v>
      </c>
      <c r="AV40">
        <v>0</v>
      </c>
    </row>
    <row r="41" spans="1:48" ht="27" thickBot="1" x14ac:dyDescent="0.3">
      <c r="A41" s="25">
        <v>40</v>
      </c>
      <c r="B41" s="25" t="s">
        <v>194</v>
      </c>
      <c r="C41" s="4" t="s">
        <v>54</v>
      </c>
      <c r="D41" s="4">
        <v>1</v>
      </c>
      <c r="E41" s="4">
        <v>1</v>
      </c>
      <c r="F41" s="4">
        <v>1</v>
      </c>
      <c r="G41" s="4">
        <v>2</v>
      </c>
      <c r="H41" s="4">
        <v>-1</v>
      </c>
      <c r="I41" s="4">
        <v>-2</v>
      </c>
      <c r="J41" s="4">
        <v>0</v>
      </c>
      <c r="K41" s="4">
        <v>-2</v>
      </c>
      <c r="L41" s="4">
        <v>0</v>
      </c>
      <c r="M41" s="4">
        <v>2</v>
      </c>
      <c r="N41" s="4">
        <v>0</v>
      </c>
      <c r="O41" s="4">
        <v>0</v>
      </c>
      <c r="P41" s="4">
        <v>0</v>
      </c>
      <c r="Q41" s="4">
        <v>1</v>
      </c>
      <c r="R41" s="4">
        <v>-1</v>
      </c>
      <c r="S41" s="4">
        <v>-2</v>
      </c>
      <c r="T41" s="4">
        <v>-1</v>
      </c>
      <c r="U41" s="4">
        <v>0</v>
      </c>
      <c r="V41" s="5">
        <v>24</v>
      </c>
      <c r="W41" s="4" t="s">
        <v>144</v>
      </c>
      <c r="X41" s="6">
        <v>1</v>
      </c>
      <c r="Y41" s="31" cm="1">
        <f t="array" ref="Y41">IFERROR(_xlfn.XMATCH(TRUE, ISNUMBER(SEARCH($B$2:$B$201, C41))), 9999)</f>
        <v>112</v>
      </c>
      <c r="Z41" s="7"/>
      <c r="AA41" s="7" t="str">
        <v>김연지, 20050702</v>
      </c>
      <c r="AB41" s="7">
        <v>-1</v>
      </c>
      <c r="AC41" s="7">
        <v>0</v>
      </c>
      <c r="AD41" s="7">
        <v>0</v>
      </c>
      <c r="AE41">
        <v>0</v>
      </c>
      <c r="AF41">
        <v>-1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0</v>
      </c>
      <c r="AM41">
        <v>-1</v>
      </c>
      <c r="AN41">
        <v>-1</v>
      </c>
      <c r="AO41">
        <v>0</v>
      </c>
      <c r="AP41">
        <v>-1</v>
      </c>
      <c r="AQ41">
        <v>-1</v>
      </c>
      <c r="AR41">
        <v>-1</v>
      </c>
      <c r="AS41">
        <v>0</v>
      </c>
      <c r="AT41">
        <v>24</v>
      </c>
      <c r="AU41">
        <v>26</v>
      </c>
      <c r="AV41">
        <v>1</v>
      </c>
    </row>
    <row r="42" spans="1:48" ht="27" thickBot="1" x14ac:dyDescent="0.3">
      <c r="A42" s="26">
        <v>41</v>
      </c>
      <c r="B42" s="26" t="s">
        <v>195</v>
      </c>
      <c r="C42" s="22" t="s">
        <v>275</v>
      </c>
      <c r="D42" s="8">
        <v>-2</v>
      </c>
      <c r="E42" s="8">
        <v>2</v>
      </c>
      <c r="F42" s="8">
        <v>2</v>
      </c>
      <c r="G42" s="8">
        <v>2</v>
      </c>
      <c r="H42" s="8">
        <v>2</v>
      </c>
      <c r="I42" s="8">
        <v>0</v>
      </c>
      <c r="J42" s="8">
        <v>2</v>
      </c>
      <c r="K42" s="8">
        <v>2</v>
      </c>
      <c r="L42" s="8">
        <v>2</v>
      </c>
      <c r="M42" s="8">
        <v>1</v>
      </c>
      <c r="N42" s="8">
        <v>1</v>
      </c>
      <c r="O42" s="8">
        <v>1</v>
      </c>
      <c r="P42" s="8">
        <v>-1</v>
      </c>
      <c r="Q42" s="8">
        <v>1</v>
      </c>
      <c r="R42" s="8">
        <v>2</v>
      </c>
      <c r="S42" s="8">
        <v>-2</v>
      </c>
      <c r="T42" s="8">
        <v>-2</v>
      </c>
      <c r="U42" s="8">
        <v>1</v>
      </c>
      <c r="V42" s="8">
        <v>25</v>
      </c>
      <c r="W42" s="8">
        <v>23</v>
      </c>
      <c r="X42" s="10">
        <v>-1</v>
      </c>
      <c r="Y42" s="31" cm="1">
        <f t="array" ref="Y42">IFERROR(_xlfn.XMATCH(TRUE, ISNUMBER(SEARCH($B$2:$B$201, C42))), 9999)</f>
        <v>62</v>
      </c>
      <c r="Z42" s="7"/>
      <c r="AA42" s="7" t="str">
        <v>송상길 960612</v>
      </c>
      <c r="AB42" s="7">
        <v>0</v>
      </c>
      <c r="AC42" s="7">
        <v>-1</v>
      </c>
      <c r="AD42" s="7">
        <v>0</v>
      </c>
      <c r="AE42">
        <v>1</v>
      </c>
      <c r="AF42">
        <v>-2</v>
      </c>
      <c r="AG42">
        <v>-2</v>
      </c>
      <c r="AH42">
        <v>-2</v>
      </c>
      <c r="AI42">
        <v>-2</v>
      </c>
      <c r="AJ42">
        <v>-2</v>
      </c>
      <c r="AK42">
        <v>1</v>
      </c>
      <c r="AL42">
        <v>2</v>
      </c>
      <c r="AM42">
        <v>-2</v>
      </c>
      <c r="AN42">
        <v>0</v>
      </c>
      <c r="AO42">
        <v>-2</v>
      </c>
      <c r="AP42">
        <v>-2</v>
      </c>
      <c r="AQ42">
        <v>-2</v>
      </c>
      <c r="AR42">
        <v>-2</v>
      </c>
      <c r="AS42">
        <v>1</v>
      </c>
      <c r="AT42">
        <v>20</v>
      </c>
      <c r="AU42">
        <v>22</v>
      </c>
      <c r="AV42">
        <v>-2</v>
      </c>
    </row>
    <row r="43" spans="1:48" ht="27" thickBot="1" x14ac:dyDescent="0.3">
      <c r="A43" s="25">
        <v>42</v>
      </c>
      <c r="B43" s="25" t="s">
        <v>196</v>
      </c>
      <c r="C43" s="4" t="s">
        <v>55</v>
      </c>
      <c r="D43" s="4">
        <v>-1</v>
      </c>
      <c r="E43" s="4">
        <v>1</v>
      </c>
      <c r="F43" s="4">
        <v>1</v>
      </c>
      <c r="G43" s="4">
        <v>1</v>
      </c>
      <c r="H43" s="4">
        <v>1</v>
      </c>
      <c r="I43" s="4">
        <v>-1</v>
      </c>
      <c r="J43" s="4">
        <v>1</v>
      </c>
      <c r="K43" s="4">
        <v>-1</v>
      </c>
      <c r="L43" s="4">
        <v>0</v>
      </c>
      <c r="M43" s="4">
        <v>1</v>
      </c>
      <c r="N43" s="4">
        <v>2</v>
      </c>
      <c r="O43" s="4">
        <v>-1</v>
      </c>
      <c r="P43" s="4">
        <v>-1</v>
      </c>
      <c r="Q43" s="4">
        <v>0</v>
      </c>
      <c r="R43" s="4">
        <v>1</v>
      </c>
      <c r="S43" s="4">
        <v>-2</v>
      </c>
      <c r="T43" s="4">
        <v>-1</v>
      </c>
      <c r="U43" s="4">
        <v>1</v>
      </c>
      <c r="V43" s="4">
        <v>26</v>
      </c>
      <c r="W43" s="4" t="s">
        <v>144</v>
      </c>
      <c r="X43" s="6">
        <v>-1</v>
      </c>
      <c r="Y43" s="31" cm="1">
        <f t="array" ref="Y43">IFERROR(_xlfn.XMATCH(TRUE, ISNUMBER(SEARCH($B$2:$B$201, C43))), 9999)</f>
        <v>53</v>
      </c>
      <c r="Z43" s="7"/>
      <c r="AA43" s="7" t="str">
        <v>문지우 2004.01.17</v>
      </c>
      <c r="AB43" s="7">
        <v>0</v>
      </c>
      <c r="AC43" s="7">
        <v>1</v>
      </c>
      <c r="AD43" s="7">
        <v>1</v>
      </c>
      <c r="AE43">
        <v>1</v>
      </c>
      <c r="AF43">
        <v>0</v>
      </c>
      <c r="AG43">
        <v>-2</v>
      </c>
      <c r="AH43">
        <v>-1</v>
      </c>
      <c r="AI43">
        <v>-1</v>
      </c>
      <c r="AJ43">
        <v>0</v>
      </c>
      <c r="AK43">
        <v>-1</v>
      </c>
      <c r="AL43">
        <v>1</v>
      </c>
      <c r="AM43">
        <v>0</v>
      </c>
      <c r="AN43">
        <v>-1</v>
      </c>
      <c r="AO43">
        <v>-2</v>
      </c>
      <c r="AP43">
        <v>0</v>
      </c>
      <c r="AQ43">
        <v>-2</v>
      </c>
      <c r="AR43">
        <v>-2</v>
      </c>
      <c r="AS43">
        <v>1</v>
      </c>
      <c r="AT43">
        <v>24</v>
      </c>
      <c r="AU43">
        <v>27</v>
      </c>
      <c r="AV43">
        <v>1</v>
      </c>
    </row>
    <row r="44" spans="1:48" ht="27" thickBot="1" x14ac:dyDescent="0.3">
      <c r="A44" s="25">
        <v>43</v>
      </c>
      <c r="B44" s="25" t="s">
        <v>197</v>
      </c>
      <c r="C44" s="8" t="s">
        <v>56</v>
      </c>
      <c r="D44" s="8">
        <v>-2</v>
      </c>
      <c r="E44" s="8">
        <v>2</v>
      </c>
      <c r="F44" s="8">
        <v>0</v>
      </c>
      <c r="G44" s="8">
        <v>2</v>
      </c>
      <c r="H44" s="8">
        <v>2</v>
      </c>
      <c r="I44" s="8">
        <v>-2</v>
      </c>
      <c r="J44" s="8">
        <v>-1</v>
      </c>
      <c r="K44" s="8">
        <v>1</v>
      </c>
      <c r="L44" s="8">
        <v>-2</v>
      </c>
      <c r="M44" s="8">
        <v>-2</v>
      </c>
      <c r="N44" s="8">
        <v>2</v>
      </c>
      <c r="O44" s="8">
        <v>1</v>
      </c>
      <c r="P44" s="8">
        <v>-1</v>
      </c>
      <c r="Q44" s="8">
        <v>-1</v>
      </c>
      <c r="R44" s="8">
        <v>0</v>
      </c>
      <c r="S44" s="8">
        <v>-2</v>
      </c>
      <c r="T44" s="8">
        <v>-2</v>
      </c>
      <c r="U44" s="8">
        <v>1</v>
      </c>
      <c r="V44" s="9">
        <v>25</v>
      </c>
      <c r="W44" s="8" t="s">
        <v>144</v>
      </c>
      <c r="X44" s="10">
        <v>0</v>
      </c>
      <c r="Y44" s="31" cm="1">
        <f t="array" ref="Y44">IFERROR(_xlfn.XMATCH(TRUE, ISNUMBER(SEARCH($B$2:$B$201, C44))), 9999)</f>
        <v>54</v>
      </c>
      <c r="Z44" s="7"/>
      <c r="AA44" s="7" t="str">
        <v>박종수, 2002-02-14</v>
      </c>
      <c r="AB44" s="7">
        <v>-1</v>
      </c>
      <c r="AC44" s="7">
        <v>0</v>
      </c>
      <c r="AD44" s="7">
        <v>0</v>
      </c>
      <c r="AE44">
        <v>1</v>
      </c>
      <c r="AF44">
        <v>0</v>
      </c>
      <c r="AG44">
        <v>-1</v>
      </c>
      <c r="AH44">
        <v>0</v>
      </c>
      <c r="AI44">
        <v>0</v>
      </c>
      <c r="AJ44">
        <v>0</v>
      </c>
      <c r="AK44">
        <v>-1</v>
      </c>
      <c r="AL44">
        <v>-1</v>
      </c>
      <c r="AM44">
        <v>-1</v>
      </c>
      <c r="AN44">
        <v>0</v>
      </c>
      <c r="AO44">
        <v>-1</v>
      </c>
      <c r="AP44">
        <v>0</v>
      </c>
      <c r="AQ44">
        <v>-1</v>
      </c>
      <c r="AR44">
        <v>0</v>
      </c>
      <c r="AS44">
        <v>1</v>
      </c>
      <c r="AT44">
        <v>26</v>
      </c>
      <c r="AU44" t="str">
        <v>N/A</v>
      </c>
      <c r="AV44">
        <v>1</v>
      </c>
    </row>
    <row r="45" spans="1:48" ht="26.25" thickBot="1" x14ac:dyDescent="0.3">
      <c r="A45" s="26">
        <v>44</v>
      </c>
      <c r="B45" s="26" t="s">
        <v>128</v>
      </c>
      <c r="C45" s="4" t="s">
        <v>57</v>
      </c>
      <c r="D45" s="4">
        <v>0</v>
      </c>
      <c r="E45" s="4">
        <v>1</v>
      </c>
      <c r="F45" s="4">
        <v>1</v>
      </c>
      <c r="G45" s="4">
        <v>1</v>
      </c>
      <c r="H45" s="4">
        <v>1</v>
      </c>
      <c r="I45" s="4">
        <v>2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5">
        <v>23</v>
      </c>
      <c r="W45" s="5">
        <v>26</v>
      </c>
      <c r="X45" s="6">
        <v>1</v>
      </c>
      <c r="Y45" s="31" cm="1">
        <f t="array" ref="Y45">IFERROR(_xlfn.XMATCH(TRUE, ISNUMBER(SEARCH($B$2:$B$201, C45))), 9999)</f>
        <v>58</v>
      </c>
      <c r="Z45" s="7"/>
      <c r="AA45" s="7" t="str">
        <v>김정민</v>
      </c>
      <c r="AB45" s="7">
        <v>-2</v>
      </c>
      <c r="AC45" s="7">
        <v>2</v>
      </c>
      <c r="AD45" s="7">
        <v>2</v>
      </c>
      <c r="AE45">
        <v>2</v>
      </c>
      <c r="AF45">
        <v>2</v>
      </c>
      <c r="AG45">
        <v>-2</v>
      </c>
      <c r="AH45">
        <v>2</v>
      </c>
      <c r="AI45">
        <v>-2</v>
      </c>
      <c r="AJ45">
        <v>-2</v>
      </c>
      <c r="AK45">
        <v>0</v>
      </c>
      <c r="AL45">
        <v>2</v>
      </c>
      <c r="AM45">
        <v>-2</v>
      </c>
      <c r="AN45">
        <v>-2</v>
      </c>
      <c r="AO45">
        <v>0</v>
      </c>
      <c r="AP45">
        <v>-1</v>
      </c>
      <c r="AQ45">
        <v>-2</v>
      </c>
      <c r="AR45">
        <v>-2</v>
      </c>
      <c r="AS45">
        <v>1</v>
      </c>
      <c r="AT45">
        <v>25</v>
      </c>
      <c r="AU45">
        <v>20</v>
      </c>
      <c r="AV45">
        <v>1</v>
      </c>
    </row>
    <row r="46" spans="1:48" ht="30.75" thickBot="1" x14ac:dyDescent="0.3">
      <c r="A46" s="25">
        <v>45</v>
      </c>
      <c r="B46" s="33" t="s">
        <v>272</v>
      </c>
      <c r="C46" s="8" t="s">
        <v>58</v>
      </c>
      <c r="D46" s="8">
        <v>-1</v>
      </c>
      <c r="E46" s="8">
        <v>1</v>
      </c>
      <c r="F46" s="8">
        <v>1</v>
      </c>
      <c r="G46" s="8">
        <v>1</v>
      </c>
      <c r="H46" s="8">
        <v>1</v>
      </c>
      <c r="I46" s="8">
        <v>0</v>
      </c>
      <c r="J46" s="8">
        <v>1</v>
      </c>
      <c r="K46" s="8">
        <v>1</v>
      </c>
      <c r="L46" s="8">
        <v>1</v>
      </c>
      <c r="M46" s="8">
        <v>1</v>
      </c>
      <c r="N46" s="8">
        <v>1</v>
      </c>
      <c r="O46" s="8">
        <v>0</v>
      </c>
      <c r="P46" s="8">
        <v>0</v>
      </c>
      <c r="Q46" s="8">
        <v>-1</v>
      </c>
      <c r="R46" s="8">
        <v>-1</v>
      </c>
      <c r="S46" s="8">
        <v>-2</v>
      </c>
      <c r="T46" s="8">
        <v>-2</v>
      </c>
      <c r="U46" s="8">
        <v>1</v>
      </c>
      <c r="V46" s="9">
        <v>23</v>
      </c>
      <c r="W46" s="8" t="s">
        <v>144</v>
      </c>
      <c r="X46" s="10">
        <v>1</v>
      </c>
      <c r="Y46" s="31" cm="1">
        <f t="array" ref="Y46">IFERROR(_xlfn.XMATCH(TRUE, ISNUMBER(SEARCH($B$2:$B$201, C46))), 9999)</f>
        <v>55</v>
      </c>
      <c r="Z46" s="7"/>
      <c r="AA46" s="7" t="str">
        <v>박시현 0311</v>
      </c>
      <c r="AB46" s="7">
        <v>1</v>
      </c>
      <c r="AC46" s="7">
        <v>1</v>
      </c>
      <c r="AD46" s="7">
        <v>-1</v>
      </c>
      <c r="AE46">
        <v>2</v>
      </c>
      <c r="AF46">
        <v>2</v>
      </c>
      <c r="AG46">
        <v>0</v>
      </c>
      <c r="AH46">
        <v>-1</v>
      </c>
      <c r="AI46">
        <v>1</v>
      </c>
      <c r="AJ46">
        <v>-1</v>
      </c>
      <c r="AK46">
        <v>1</v>
      </c>
      <c r="AL46">
        <v>-1</v>
      </c>
      <c r="AM46">
        <v>2</v>
      </c>
      <c r="AN46">
        <v>-2</v>
      </c>
      <c r="AO46">
        <v>1</v>
      </c>
      <c r="AP46">
        <v>-1</v>
      </c>
      <c r="AQ46">
        <v>0</v>
      </c>
      <c r="AR46">
        <v>0</v>
      </c>
      <c r="AS46">
        <v>0</v>
      </c>
      <c r="AT46">
        <v>27</v>
      </c>
      <c r="AU46" t="str">
        <v>N/A</v>
      </c>
      <c r="AV46">
        <v>2</v>
      </c>
    </row>
    <row r="47" spans="1:48" ht="27" thickBot="1" x14ac:dyDescent="0.3">
      <c r="A47" s="25">
        <v>46</v>
      </c>
      <c r="B47" s="25" t="s">
        <v>198</v>
      </c>
      <c r="C47" s="4" t="s">
        <v>59</v>
      </c>
      <c r="D47" s="4">
        <v>-1</v>
      </c>
      <c r="E47" s="4">
        <v>1</v>
      </c>
      <c r="F47" s="4">
        <v>1</v>
      </c>
      <c r="G47" s="4">
        <v>1</v>
      </c>
      <c r="H47" s="4">
        <v>1</v>
      </c>
      <c r="I47" s="4">
        <v>0</v>
      </c>
      <c r="J47" s="4">
        <v>1</v>
      </c>
      <c r="K47" s="4">
        <v>0</v>
      </c>
      <c r="L47" s="4">
        <v>0</v>
      </c>
      <c r="M47" s="4">
        <v>-1</v>
      </c>
      <c r="N47" s="4">
        <v>1</v>
      </c>
      <c r="O47" s="4">
        <v>0</v>
      </c>
      <c r="P47" s="4">
        <v>0</v>
      </c>
      <c r="Q47" s="4">
        <v>1</v>
      </c>
      <c r="R47" s="4">
        <v>1</v>
      </c>
      <c r="S47" s="4">
        <v>-1</v>
      </c>
      <c r="T47" s="4">
        <v>-1</v>
      </c>
      <c r="U47" s="4">
        <v>1</v>
      </c>
      <c r="V47" s="4">
        <v>21</v>
      </c>
      <c r="W47" s="4" t="s">
        <v>144</v>
      </c>
      <c r="X47" s="6">
        <v>2</v>
      </c>
      <c r="Y47" s="31" cm="1">
        <f t="array" ref="Y47">IFERROR(_xlfn.XMATCH(TRUE, ISNUMBER(SEARCH($B$2:$B$201, C47))), 9999)</f>
        <v>95</v>
      </c>
      <c r="Z47" s="7"/>
      <c r="AA47" s="7" t="str">
        <v>장현지 20020203</v>
      </c>
      <c r="AB47" s="7">
        <v>0</v>
      </c>
      <c r="AC47" s="7">
        <v>0</v>
      </c>
      <c r="AD47" s="7">
        <v>1</v>
      </c>
      <c r="AE47">
        <v>1</v>
      </c>
      <c r="AF47">
        <v>1</v>
      </c>
      <c r="AG47">
        <v>2</v>
      </c>
      <c r="AH47">
        <v>2</v>
      </c>
      <c r="AI47">
        <v>2</v>
      </c>
      <c r="AJ47">
        <v>2</v>
      </c>
      <c r="AK47">
        <v>-1</v>
      </c>
      <c r="AL47">
        <v>0</v>
      </c>
      <c r="AM47">
        <v>1</v>
      </c>
      <c r="AN47">
        <v>1</v>
      </c>
      <c r="AO47">
        <v>1</v>
      </c>
      <c r="AP47">
        <v>-1</v>
      </c>
      <c r="AQ47">
        <v>1</v>
      </c>
      <c r="AR47">
        <v>0</v>
      </c>
      <c r="AS47">
        <v>1</v>
      </c>
      <c r="AT47">
        <v>25</v>
      </c>
      <c r="AU47">
        <v>27</v>
      </c>
      <c r="AV47">
        <v>1</v>
      </c>
    </row>
    <row r="48" spans="1:48" ht="27" thickBot="1" x14ac:dyDescent="0.3">
      <c r="A48" s="25">
        <v>47</v>
      </c>
      <c r="B48" s="25" t="s">
        <v>199</v>
      </c>
      <c r="C48" s="8" t="s">
        <v>60</v>
      </c>
      <c r="D48" s="8">
        <v>-1</v>
      </c>
      <c r="E48" s="8">
        <v>1</v>
      </c>
      <c r="F48" s="8">
        <v>1</v>
      </c>
      <c r="G48" s="8">
        <v>1</v>
      </c>
      <c r="H48" s="8">
        <v>1</v>
      </c>
      <c r="I48" s="8">
        <v>-1</v>
      </c>
      <c r="J48" s="8">
        <v>1</v>
      </c>
      <c r="K48" s="8">
        <v>-1</v>
      </c>
      <c r="L48" s="8">
        <v>-1</v>
      </c>
      <c r="M48" s="8">
        <v>-1</v>
      </c>
      <c r="N48" s="8">
        <v>1</v>
      </c>
      <c r="O48" s="8">
        <v>1</v>
      </c>
      <c r="P48" s="8">
        <v>-1</v>
      </c>
      <c r="Q48" s="8">
        <v>1</v>
      </c>
      <c r="R48" s="8">
        <v>-1</v>
      </c>
      <c r="S48" s="8">
        <v>-1</v>
      </c>
      <c r="T48" s="8">
        <v>-1</v>
      </c>
      <c r="U48" s="8">
        <v>1</v>
      </c>
      <c r="V48" s="9">
        <v>23</v>
      </c>
      <c r="W48" s="8" t="s">
        <v>144</v>
      </c>
      <c r="X48" s="10">
        <v>1</v>
      </c>
      <c r="Y48" s="31" cm="1">
        <f t="array" ref="Y48">IFERROR(_xlfn.XMATCH(TRUE, ISNUMBER(SEARCH($B$2:$B$201, C48))), 9999)</f>
        <v>57</v>
      </c>
      <c r="Z48" s="7"/>
      <c r="AA48" s="7" t="str">
        <v>강지수 2001.04.16</v>
      </c>
      <c r="AB48" s="7">
        <v>-1</v>
      </c>
      <c r="AC48" s="7">
        <v>0</v>
      </c>
      <c r="AD48" s="7">
        <v>1</v>
      </c>
      <c r="AE48">
        <v>1</v>
      </c>
      <c r="AF48">
        <v>1</v>
      </c>
      <c r="AG48">
        <v>-2</v>
      </c>
      <c r="AH48">
        <v>0</v>
      </c>
      <c r="AI48">
        <v>1</v>
      </c>
      <c r="AJ48">
        <v>-1</v>
      </c>
      <c r="AK48">
        <v>0</v>
      </c>
      <c r="AL48">
        <v>1</v>
      </c>
      <c r="AM48">
        <v>-1</v>
      </c>
      <c r="AN48">
        <v>-1</v>
      </c>
      <c r="AO48">
        <v>1</v>
      </c>
      <c r="AP48">
        <v>1</v>
      </c>
      <c r="AQ48">
        <v>-2</v>
      </c>
      <c r="AR48">
        <v>-1</v>
      </c>
      <c r="AS48">
        <v>0</v>
      </c>
      <c r="AT48">
        <v>28</v>
      </c>
      <c r="AU48">
        <v>28</v>
      </c>
      <c r="AV48">
        <v>-1</v>
      </c>
    </row>
    <row r="49" spans="1:48" ht="27" thickBot="1" x14ac:dyDescent="0.3">
      <c r="A49" s="25">
        <v>48</v>
      </c>
      <c r="B49" s="25" t="s">
        <v>200</v>
      </c>
      <c r="C49" s="4" t="s">
        <v>61</v>
      </c>
      <c r="D49" s="4">
        <v>0</v>
      </c>
      <c r="E49" s="4">
        <v>2</v>
      </c>
      <c r="F49" s="4">
        <v>1</v>
      </c>
      <c r="G49" s="4">
        <v>2</v>
      </c>
      <c r="H49" s="4">
        <v>1</v>
      </c>
      <c r="I49" s="4">
        <v>1</v>
      </c>
      <c r="J49" s="4">
        <v>0</v>
      </c>
      <c r="K49" s="4">
        <v>-1</v>
      </c>
      <c r="L49" s="4">
        <v>-1</v>
      </c>
      <c r="M49" s="4">
        <v>-2</v>
      </c>
      <c r="N49" s="4">
        <v>2</v>
      </c>
      <c r="O49" s="4">
        <v>-2</v>
      </c>
      <c r="P49" s="4">
        <v>-1</v>
      </c>
      <c r="Q49" s="4">
        <v>-1</v>
      </c>
      <c r="R49" s="4">
        <v>-1</v>
      </c>
      <c r="S49" s="4">
        <v>-1</v>
      </c>
      <c r="T49" s="4">
        <v>-1</v>
      </c>
      <c r="U49" s="4">
        <v>1</v>
      </c>
      <c r="V49" s="5">
        <v>24</v>
      </c>
      <c r="W49" s="5">
        <v>28</v>
      </c>
      <c r="X49" s="6">
        <v>1</v>
      </c>
      <c r="Y49" s="31" cm="1">
        <f t="array" ref="Y49">IFERROR(_xlfn.XMATCH(TRUE, ISNUMBER(SEARCH($B$2:$B$201, C49))), 9999)</f>
        <v>51</v>
      </c>
      <c r="Z49" s="7"/>
      <c r="AA49" s="7" t="str">
        <v>김세연 2000.03.25</v>
      </c>
      <c r="AB49" s="7">
        <v>-2</v>
      </c>
      <c r="AC49" s="7">
        <v>2</v>
      </c>
      <c r="AD49" s="7">
        <v>2</v>
      </c>
      <c r="AE49">
        <v>2</v>
      </c>
      <c r="AF49">
        <v>1</v>
      </c>
      <c r="AG49">
        <v>-1</v>
      </c>
      <c r="AH49">
        <v>1</v>
      </c>
      <c r="AI49">
        <v>1</v>
      </c>
      <c r="AJ49">
        <v>-1</v>
      </c>
      <c r="AK49">
        <v>-2</v>
      </c>
      <c r="AL49">
        <v>1</v>
      </c>
      <c r="AM49">
        <v>-1</v>
      </c>
      <c r="AN49">
        <v>-1</v>
      </c>
      <c r="AO49">
        <v>1</v>
      </c>
      <c r="AP49">
        <v>-1</v>
      </c>
      <c r="AQ49">
        <v>-1</v>
      </c>
      <c r="AR49">
        <v>-1</v>
      </c>
      <c r="AS49">
        <v>1</v>
      </c>
      <c r="AT49">
        <v>25</v>
      </c>
      <c r="AU49">
        <v>27</v>
      </c>
      <c r="AV49">
        <v>-1</v>
      </c>
    </row>
    <row r="50" spans="1:48" ht="30" thickBot="1" x14ac:dyDescent="0.3">
      <c r="A50" s="25">
        <v>49</v>
      </c>
      <c r="B50" s="25" t="s">
        <v>201</v>
      </c>
      <c r="C50" s="22" t="s">
        <v>277</v>
      </c>
      <c r="D50" s="8">
        <v>-1</v>
      </c>
      <c r="E50" s="8">
        <v>2</v>
      </c>
      <c r="F50" s="8">
        <v>2</v>
      </c>
      <c r="G50" s="8">
        <v>2</v>
      </c>
      <c r="H50" s="8">
        <v>2</v>
      </c>
      <c r="I50" s="8">
        <v>0</v>
      </c>
      <c r="J50" s="8">
        <v>0</v>
      </c>
      <c r="K50" s="8">
        <v>1</v>
      </c>
      <c r="L50" s="8">
        <v>2</v>
      </c>
      <c r="M50" s="8">
        <v>-1</v>
      </c>
      <c r="N50" s="8">
        <v>2</v>
      </c>
      <c r="O50" s="8">
        <v>-1</v>
      </c>
      <c r="P50" s="8">
        <v>1</v>
      </c>
      <c r="Q50" s="8">
        <v>1</v>
      </c>
      <c r="R50" s="8">
        <v>1</v>
      </c>
      <c r="S50" s="8">
        <v>-1</v>
      </c>
      <c r="T50" s="8">
        <v>1</v>
      </c>
      <c r="U50" s="8">
        <v>1</v>
      </c>
      <c r="V50" s="8">
        <v>27</v>
      </c>
      <c r="W50" s="8" t="s">
        <v>144</v>
      </c>
      <c r="X50" s="10">
        <v>0</v>
      </c>
      <c r="Y50" s="31" cm="1">
        <f t="array" ref="Y50">IFERROR(_xlfn.XMATCH(TRUE, ISNUMBER(SEARCH($B$2:$B$201, C50))), 9999)</f>
        <v>94</v>
      </c>
      <c r="Z50" s="7"/>
      <c r="AA50" s="7" t="str">
        <v>정현수 000106</v>
      </c>
      <c r="AB50" s="7">
        <v>-1</v>
      </c>
      <c r="AC50" s="7">
        <v>1</v>
      </c>
      <c r="AD50" s="7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-1</v>
      </c>
      <c r="AN50">
        <v>1</v>
      </c>
      <c r="AO50">
        <v>1</v>
      </c>
      <c r="AP50">
        <v>-1</v>
      </c>
      <c r="AQ50">
        <v>-1</v>
      </c>
      <c r="AR50">
        <v>-1</v>
      </c>
      <c r="AS50">
        <v>1</v>
      </c>
      <c r="AT50">
        <v>24</v>
      </c>
      <c r="AU50" t="str">
        <v>N/A</v>
      </c>
      <c r="AV50">
        <v>0</v>
      </c>
    </row>
    <row r="51" spans="1:48" ht="27" thickBot="1" x14ac:dyDescent="0.3">
      <c r="A51" s="25">
        <v>50</v>
      </c>
      <c r="B51" s="25" t="s">
        <v>202</v>
      </c>
      <c r="C51" s="4" t="s">
        <v>62</v>
      </c>
      <c r="D51" s="4">
        <v>-2</v>
      </c>
      <c r="E51" s="4">
        <v>2</v>
      </c>
      <c r="F51" s="4">
        <v>2</v>
      </c>
      <c r="G51" s="4">
        <v>2</v>
      </c>
      <c r="H51" s="4">
        <v>1</v>
      </c>
      <c r="I51" s="4">
        <v>-2</v>
      </c>
      <c r="J51" s="4">
        <v>1</v>
      </c>
      <c r="K51" s="4">
        <v>1</v>
      </c>
      <c r="L51" s="4">
        <v>-2</v>
      </c>
      <c r="M51" s="4">
        <v>-2</v>
      </c>
      <c r="N51" s="4">
        <v>2</v>
      </c>
      <c r="O51" s="4">
        <v>-2</v>
      </c>
      <c r="P51" s="4">
        <v>1</v>
      </c>
      <c r="Q51" s="4">
        <v>-1</v>
      </c>
      <c r="R51" s="4">
        <v>-1</v>
      </c>
      <c r="S51" s="4">
        <v>-2</v>
      </c>
      <c r="T51" s="4">
        <v>-1</v>
      </c>
      <c r="U51" s="4">
        <v>2</v>
      </c>
      <c r="V51" s="4">
        <v>26</v>
      </c>
      <c r="W51" s="4" t="s">
        <v>144</v>
      </c>
      <c r="X51" s="6">
        <v>-2</v>
      </c>
      <c r="Y51" s="31" cm="1">
        <f t="array" ref="Y51">IFERROR(_xlfn.XMATCH(TRUE, ISNUMBER(SEARCH($B$2:$B$201, C51))), 9999)</f>
        <v>127</v>
      </c>
      <c r="Z51" s="7"/>
      <c r="AA51" s="7" t="str">
        <v>선동훈 / 19990622</v>
      </c>
      <c r="AB51" s="7">
        <v>-1</v>
      </c>
      <c r="AC51" s="7">
        <v>2</v>
      </c>
      <c r="AD51" s="7">
        <v>2</v>
      </c>
      <c r="AE51">
        <v>2</v>
      </c>
      <c r="AF51">
        <v>1</v>
      </c>
      <c r="AG51">
        <v>-2</v>
      </c>
      <c r="AH51">
        <v>1</v>
      </c>
      <c r="AI51">
        <v>-2</v>
      </c>
      <c r="AJ51">
        <v>-2</v>
      </c>
      <c r="AK51">
        <v>-1</v>
      </c>
      <c r="AL51">
        <v>2</v>
      </c>
      <c r="AM51">
        <v>-2</v>
      </c>
      <c r="AN51">
        <v>-1</v>
      </c>
      <c r="AO51">
        <v>-1</v>
      </c>
      <c r="AP51">
        <v>1</v>
      </c>
      <c r="AQ51">
        <v>-2</v>
      </c>
      <c r="AR51">
        <v>-1</v>
      </c>
      <c r="AS51">
        <v>2</v>
      </c>
      <c r="AT51">
        <v>28</v>
      </c>
      <c r="AU51" t="str">
        <v xml:space="preserve"> N/A</v>
      </c>
      <c r="AV51">
        <v>0</v>
      </c>
    </row>
    <row r="52" spans="1:48" ht="27" thickBot="1" x14ac:dyDescent="0.3">
      <c r="A52" s="25">
        <v>51</v>
      </c>
      <c r="B52" s="25" t="s">
        <v>203</v>
      </c>
      <c r="C52" s="8" t="s">
        <v>63</v>
      </c>
      <c r="D52" s="8">
        <v>0</v>
      </c>
      <c r="E52" s="8">
        <v>1</v>
      </c>
      <c r="F52" s="8">
        <v>1</v>
      </c>
      <c r="G52" s="8">
        <v>1</v>
      </c>
      <c r="H52" s="8">
        <v>1</v>
      </c>
      <c r="I52" s="8">
        <v>1</v>
      </c>
      <c r="J52" s="8">
        <v>1</v>
      </c>
      <c r="K52" s="8">
        <v>1</v>
      </c>
      <c r="L52" s="8">
        <v>1</v>
      </c>
      <c r="M52" s="8">
        <v>1</v>
      </c>
      <c r="N52" s="8">
        <v>1</v>
      </c>
      <c r="O52" s="8">
        <v>1</v>
      </c>
      <c r="P52" s="8">
        <v>1</v>
      </c>
      <c r="Q52" s="8">
        <v>1</v>
      </c>
      <c r="R52" s="8">
        <v>1</v>
      </c>
      <c r="S52" s="8">
        <v>0</v>
      </c>
      <c r="T52" s="8">
        <v>0</v>
      </c>
      <c r="U52" s="8">
        <v>1</v>
      </c>
      <c r="V52" s="9">
        <v>27</v>
      </c>
      <c r="W52" s="8" t="s">
        <v>144</v>
      </c>
      <c r="X52" s="10">
        <v>1</v>
      </c>
      <c r="Y52" s="31" cm="1">
        <f t="array" ref="Y52">IFERROR(_xlfn.XMATCH(TRUE, ISNUMBER(SEARCH($B$2:$B$201, C52))), 9999)</f>
        <v>120</v>
      </c>
      <c r="Z52" s="7"/>
      <c r="AA52" s="7" t="str">
        <v>최주형 1999.11.14</v>
      </c>
      <c r="AB52" s="7">
        <v>0</v>
      </c>
      <c r="AC52" s="7">
        <v>2</v>
      </c>
      <c r="AD52" s="7">
        <v>1</v>
      </c>
      <c r="AE52">
        <v>2</v>
      </c>
      <c r="AF52">
        <v>1</v>
      </c>
      <c r="AG52">
        <v>1</v>
      </c>
      <c r="AH52">
        <v>0</v>
      </c>
      <c r="AI52">
        <v>-1</v>
      </c>
      <c r="AJ52">
        <v>-1</v>
      </c>
      <c r="AK52">
        <v>-2</v>
      </c>
      <c r="AL52">
        <v>2</v>
      </c>
      <c r="AM52">
        <v>-2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1</v>
      </c>
      <c r="AT52">
        <v>24</v>
      </c>
      <c r="AU52">
        <v>28</v>
      </c>
      <c r="AV52">
        <v>1</v>
      </c>
    </row>
    <row r="53" spans="1:48" ht="27" thickBot="1" x14ac:dyDescent="0.3">
      <c r="A53" s="25">
        <v>52</v>
      </c>
      <c r="B53" s="25" t="s">
        <v>204</v>
      </c>
      <c r="C53" s="4" t="s">
        <v>64</v>
      </c>
      <c r="D53" s="4">
        <v>-1</v>
      </c>
      <c r="E53" s="4">
        <v>0</v>
      </c>
      <c r="F53" s="4">
        <v>1</v>
      </c>
      <c r="G53" s="4">
        <v>1</v>
      </c>
      <c r="H53" s="4">
        <v>1</v>
      </c>
      <c r="I53" s="4">
        <v>-2</v>
      </c>
      <c r="J53" s="4">
        <v>0</v>
      </c>
      <c r="K53" s="4">
        <v>1</v>
      </c>
      <c r="L53" s="4">
        <v>-1</v>
      </c>
      <c r="M53" s="4">
        <v>0</v>
      </c>
      <c r="N53" s="4">
        <v>1</v>
      </c>
      <c r="O53" s="4">
        <v>-1</v>
      </c>
      <c r="P53" s="4">
        <v>-1</v>
      </c>
      <c r="Q53" s="4">
        <v>1</v>
      </c>
      <c r="R53" s="4">
        <v>1</v>
      </c>
      <c r="S53" s="4">
        <v>-2</v>
      </c>
      <c r="T53" s="4">
        <v>-1</v>
      </c>
      <c r="U53" s="4">
        <v>0</v>
      </c>
      <c r="V53" s="4">
        <v>28</v>
      </c>
      <c r="W53" s="4">
        <v>28</v>
      </c>
      <c r="X53" s="6">
        <v>-1</v>
      </c>
      <c r="Y53" s="31" cm="1">
        <f t="array" ref="Y53">IFERROR(_xlfn.XMATCH(TRUE, ISNUMBER(SEARCH($B$2:$B$201, C53))), 9999)</f>
        <v>47</v>
      </c>
      <c r="Z53" s="7"/>
      <c r="AA53" s="7" t="str">
        <v>송원서 1999.05.28</v>
      </c>
      <c r="AB53" s="7">
        <v>-1</v>
      </c>
      <c r="AC53" s="7">
        <v>1</v>
      </c>
      <c r="AD53" s="7">
        <v>1</v>
      </c>
      <c r="AE53">
        <v>1</v>
      </c>
      <c r="AF53">
        <v>-1</v>
      </c>
      <c r="AG53">
        <v>-1</v>
      </c>
      <c r="AH53">
        <v>0</v>
      </c>
      <c r="AI53">
        <v>-1</v>
      </c>
      <c r="AJ53">
        <v>-1</v>
      </c>
      <c r="AK53">
        <v>1</v>
      </c>
      <c r="AL53">
        <v>1</v>
      </c>
      <c r="AM53">
        <v>-1</v>
      </c>
      <c r="AN53">
        <v>0</v>
      </c>
      <c r="AO53">
        <v>0</v>
      </c>
      <c r="AP53">
        <v>-1</v>
      </c>
      <c r="AQ53">
        <v>-1</v>
      </c>
      <c r="AR53">
        <v>0</v>
      </c>
      <c r="AS53">
        <v>1</v>
      </c>
      <c r="AT53">
        <v>24</v>
      </c>
      <c r="AU53">
        <v>21</v>
      </c>
      <c r="AV53">
        <v>1</v>
      </c>
    </row>
    <row r="54" spans="1:48" ht="27" thickBot="1" x14ac:dyDescent="0.3">
      <c r="A54" s="25">
        <v>53</v>
      </c>
      <c r="B54" s="25" t="s">
        <v>205</v>
      </c>
      <c r="C54" s="8" t="s">
        <v>65</v>
      </c>
      <c r="D54" s="8">
        <v>-2</v>
      </c>
      <c r="E54" s="8">
        <v>2</v>
      </c>
      <c r="F54" s="8">
        <v>0</v>
      </c>
      <c r="G54" s="8">
        <v>2</v>
      </c>
      <c r="H54" s="8">
        <v>2</v>
      </c>
      <c r="I54" s="8">
        <v>-2</v>
      </c>
      <c r="J54" s="8">
        <v>2</v>
      </c>
      <c r="K54" s="8">
        <v>-2</v>
      </c>
      <c r="L54" s="8">
        <v>-2</v>
      </c>
      <c r="M54" s="8">
        <v>-2</v>
      </c>
      <c r="N54" s="8">
        <v>2</v>
      </c>
      <c r="O54" s="8">
        <v>-2</v>
      </c>
      <c r="P54" s="8">
        <v>-2</v>
      </c>
      <c r="Q54" s="8">
        <v>-2</v>
      </c>
      <c r="R54" s="8">
        <v>1</v>
      </c>
      <c r="S54" s="8">
        <v>-2</v>
      </c>
      <c r="T54" s="8">
        <v>-2</v>
      </c>
      <c r="U54" s="8">
        <v>2</v>
      </c>
      <c r="V54" s="9">
        <v>25</v>
      </c>
      <c r="W54" s="9">
        <v>27</v>
      </c>
      <c r="X54" s="10">
        <v>0</v>
      </c>
      <c r="Y54" s="31" cm="1">
        <f t="array" ref="Y54">IFERROR(_xlfn.XMATCH(TRUE, ISNUMBER(SEARCH($B$2:$B$201, C54))), 9999)</f>
        <v>27</v>
      </c>
      <c r="Z54" s="7"/>
      <c r="AA54" s="7" t="str">
        <v>안서진 / 040319</v>
      </c>
      <c r="AB54" s="7">
        <v>-1</v>
      </c>
      <c r="AC54" s="7">
        <v>1</v>
      </c>
      <c r="AD54" s="7">
        <v>1</v>
      </c>
      <c r="AE54">
        <v>1</v>
      </c>
      <c r="AF54">
        <v>1</v>
      </c>
      <c r="AG54">
        <v>-1</v>
      </c>
      <c r="AH54">
        <v>1</v>
      </c>
      <c r="AI54">
        <v>-1</v>
      </c>
      <c r="AJ54">
        <v>0</v>
      </c>
      <c r="AK54">
        <v>1</v>
      </c>
      <c r="AL54">
        <v>2</v>
      </c>
      <c r="AM54">
        <v>-1</v>
      </c>
      <c r="AN54">
        <v>-1</v>
      </c>
      <c r="AO54">
        <v>0</v>
      </c>
      <c r="AP54">
        <v>1</v>
      </c>
      <c r="AQ54">
        <v>-2</v>
      </c>
      <c r="AR54">
        <v>-1</v>
      </c>
      <c r="AS54">
        <v>1</v>
      </c>
      <c r="AT54">
        <v>26</v>
      </c>
      <c r="AU54" t="str">
        <v>N/A</v>
      </c>
      <c r="AV54">
        <v>-1</v>
      </c>
    </row>
    <row r="55" spans="1:48" ht="27" thickBot="1" x14ac:dyDescent="0.3">
      <c r="A55" s="25">
        <v>54</v>
      </c>
      <c r="B55" s="25" t="s">
        <v>206</v>
      </c>
      <c r="C55" s="4" t="s">
        <v>66</v>
      </c>
      <c r="D55" s="4">
        <v>-1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-1</v>
      </c>
      <c r="P55" s="4">
        <v>1</v>
      </c>
      <c r="Q55" s="4">
        <v>1</v>
      </c>
      <c r="R55" s="4">
        <v>-1</v>
      </c>
      <c r="S55" s="4">
        <v>-1</v>
      </c>
      <c r="T55" s="4">
        <v>-1</v>
      </c>
      <c r="U55" s="4">
        <v>1</v>
      </c>
      <c r="V55" s="5">
        <v>24</v>
      </c>
      <c r="W55" s="4" t="s">
        <v>144</v>
      </c>
      <c r="X55" s="6">
        <v>0</v>
      </c>
      <c r="Y55" s="31" cm="1">
        <f t="array" ref="Y55">IFERROR(_xlfn.XMATCH(TRUE, ISNUMBER(SEARCH($B$2:$B$201, C55))), 9999)</f>
        <v>49</v>
      </c>
      <c r="Z55" s="7"/>
      <c r="AA55" s="7" t="str">
        <v>민지선 020216</v>
      </c>
      <c r="AB55" s="7">
        <v>-2</v>
      </c>
      <c r="AC55" s="7">
        <v>2</v>
      </c>
      <c r="AD55" s="7">
        <v>0</v>
      </c>
      <c r="AE55">
        <v>2</v>
      </c>
      <c r="AF55">
        <v>2</v>
      </c>
      <c r="AG55">
        <v>-2</v>
      </c>
      <c r="AH55">
        <v>-1</v>
      </c>
      <c r="AI55">
        <v>1</v>
      </c>
      <c r="AJ55">
        <v>-2</v>
      </c>
      <c r="AK55">
        <v>-2</v>
      </c>
      <c r="AL55">
        <v>2</v>
      </c>
      <c r="AM55">
        <v>1</v>
      </c>
      <c r="AN55">
        <v>-1</v>
      </c>
      <c r="AO55">
        <v>-1</v>
      </c>
      <c r="AP55">
        <v>0</v>
      </c>
      <c r="AQ55">
        <v>-2</v>
      </c>
      <c r="AR55">
        <v>-2</v>
      </c>
      <c r="AS55">
        <v>1</v>
      </c>
      <c r="AT55">
        <v>25</v>
      </c>
      <c r="AU55" t="str">
        <v>N/A</v>
      </c>
      <c r="AV55">
        <v>0</v>
      </c>
    </row>
    <row r="56" spans="1:48" ht="27" thickBot="1" x14ac:dyDescent="0.3">
      <c r="A56" s="25">
        <v>55</v>
      </c>
      <c r="B56" s="25" t="s">
        <v>207</v>
      </c>
      <c r="C56" s="8" t="s">
        <v>67</v>
      </c>
      <c r="D56" s="8">
        <v>-1</v>
      </c>
      <c r="E56" s="8">
        <v>0</v>
      </c>
      <c r="F56" s="8">
        <v>0</v>
      </c>
      <c r="G56" s="8">
        <v>0</v>
      </c>
      <c r="H56" s="8">
        <v>-1</v>
      </c>
      <c r="I56" s="8">
        <v>-1</v>
      </c>
      <c r="J56" s="8">
        <v>-1</v>
      </c>
      <c r="K56" s="8">
        <v>-1</v>
      </c>
      <c r="L56" s="8">
        <v>-1</v>
      </c>
      <c r="M56" s="8">
        <v>-1</v>
      </c>
      <c r="N56" s="8">
        <v>0</v>
      </c>
      <c r="O56" s="8">
        <v>-1</v>
      </c>
      <c r="P56" s="8">
        <v>-1</v>
      </c>
      <c r="Q56" s="8">
        <v>0</v>
      </c>
      <c r="R56" s="8">
        <v>-1</v>
      </c>
      <c r="S56" s="8">
        <v>-1</v>
      </c>
      <c r="T56" s="8">
        <v>-1</v>
      </c>
      <c r="U56" s="8">
        <v>0</v>
      </c>
      <c r="V56" s="9">
        <v>24</v>
      </c>
      <c r="W56" s="9">
        <v>26</v>
      </c>
      <c r="X56" s="10">
        <v>1</v>
      </c>
      <c r="Y56" s="31" cm="1">
        <f t="array" ref="Y56">IFERROR(_xlfn.XMATCH(TRUE, ISNUMBER(SEARCH($B$2:$B$201, C56))), 9999)</f>
        <v>40</v>
      </c>
      <c r="Z56" s="7"/>
      <c r="AA56" s="7" t="str">
        <v>정수현 2003.01.30</v>
      </c>
      <c r="AB56" s="7">
        <v>-1</v>
      </c>
      <c r="AC56" s="7">
        <v>1</v>
      </c>
      <c r="AD56" s="7">
        <v>1</v>
      </c>
      <c r="AE56">
        <v>1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0</v>
      </c>
      <c r="AO56">
        <v>-1</v>
      </c>
      <c r="AP56">
        <v>-1</v>
      </c>
      <c r="AQ56">
        <v>-2</v>
      </c>
      <c r="AR56">
        <v>-2</v>
      </c>
      <c r="AS56">
        <v>1</v>
      </c>
      <c r="AT56">
        <v>23</v>
      </c>
      <c r="AU56" t="str">
        <v>N/A</v>
      </c>
      <c r="AV56">
        <v>1</v>
      </c>
    </row>
    <row r="57" spans="1:48" ht="27" thickBot="1" x14ac:dyDescent="0.3">
      <c r="A57" s="26">
        <v>56</v>
      </c>
      <c r="B57" s="26" t="s">
        <v>208</v>
      </c>
      <c r="C57" s="4" t="s">
        <v>68</v>
      </c>
      <c r="D57" s="4">
        <v>-1</v>
      </c>
      <c r="E57" s="4">
        <v>0</v>
      </c>
      <c r="F57" s="4">
        <v>0</v>
      </c>
      <c r="G57" s="4">
        <v>1</v>
      </c>
      <c r="H57" s="4">
        <v>0</v>
      </c>
      <c r="I57" s="4">
        <v>-1</v>
      </c>
      <c r="J57" s="4">
        <v>0</v>
      </c>
      <c r="K57" s="4">
        <v>0</v>
      </c>
      <c r="L57" s="4">
        <v>0</v>
      </c>
      <c r="M57" s="4">
        <v>-1</v>
      </c>
      <c r="N57" s="4">
        <v>-1</v>
      </c>
      <c r="O57" s="4">
        <v>-1</v>
      </c>
      <c r="P57" s="4">
        <v>0</v>
      </c>
      <c r="Q57" s="4">
        <v>-1</v>
      </c>
      <c r="R57" s="4">
        <v>0</v>
      </c>
      <c r="S57" s="4">
        <v>-1</v>
      </c>
      <c r="T57" s="4">
        <v>0</v>
      </c>
      <c r="U57" s="4">
        <v>1</v>
      </c>
      <c r="V57" s="5">
        <v>26</v>
      </c>
      <c r="W57" s="4" t="s">
        <v>145</v>
      </c>
      <c r="X57" s="6">
        <v>1</v>
      </c>
      <c r="Y57" s="31" cm="1">
        <f t="array" ref="Y57">IFERROR(_xlfn.XMATCH(TRUE, ISNUMBER(SEARCH($B$2:$B$201, C57))), 9999)</f>
        <v>43</v>
      </c>
      <c r="Z57" s="7"/>
      <c r="AA57" s="7" t="str">
        <v>조유빈 050712</v>
      </c>
      <c r="AB57" s="7">
        <v>-2</v>
      </c>
      <c r="AC57" s="7">
        <v>1</v>
      </c>
      <c r="AD57" s="7">
        <v>1</v>
      </c>
      <c r="AE57">
        <v>2</v>
      </c>
      <c r="AF57">
        <v>1</v>
      </c>
      <c r="AG57">
        <v>-1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-1</v>
      </c>
      <c r="AN57">
        <v>0</v>
      </c>
      <c r="AO57">
        <v>0</v>
      </c>
      <c r="AP57">
        <v>-1</v>
      </c>
      <c r="AQ57">
        <v>-2</v>
      </c>
      <c r="AR57">
        <v>-1</v>
      </c>
      <c r="AS57">
        <v>0</v>
      </c>
      <c r="AT57">
        <v>23</v>
      </c>
      <c r="AU57">
        <v>23</v>
      </c>
      <c r="AV57">
        <v>-1</v>
      </c>
    </row>
    <row r="58" spans="1:48" ht="27" thickBot="1" x14ac:dyDescent="0.3">
      <c r="A58" s="25">
        <v>57</v>
      </c>
      <c r="B58" s="25" t="s">
        <v>209</v>
      </c>
      <c r="C58" s="8" t="s">
        <v>69</v>
      </c>
      <c r="D58" s="8">
        <v>-1</v>
      </c>
      <c r="E58" s="8">
        <v>2</v>
      </c>
      <c r="F58" s="8">
        <v>2</v>
      </c>
      <c r="G58" s="8">
        <v>2</v>
      </c>
      <c r="H58" s="8">
        <v>1</v>
      </c>
      <c r="I58" s="8">
        <v>-2</v>
      </c>
      <c r="J58" s="8">
        <v>1</v>
      </c>
      <c r="K58" s="8">
        <v>-2</v>
      </c>
      <c r="L58" s="8">
        <v>-2</v>
      </c>
      <c r="M58" s="8">
        <v>-1</v>
      </c>
      <c r="N58" s="8">
        <v>2</v>
      </c>
      <c r="O58" s="8">
        <v>-2</v>
      </c>
      <c r="P58" s="8">
        <v>-1</v>
      </c>
      <c r="Q58" s="8">
        <v>-1</v>
      </c>
      <c r="R58" s="8">
        <v>1</v>
      </c>
      <c r="S58" s="8">
        <v>-2</v>
      </c>
      <c r="T58" s="8">
        <v>-1</v>
      </c>
      <c r="U58" s="8">
        <v>2</v>
      </c>
      <c r="V58" s="8">
        <v>28</v>
      </c>
      <c r="W58" s="8" t="s">
        <v>146</v>
      </c>
      <c r="X58" s="10">
        <v>0</v>
      </c>
      <c r="Y58" s="31" cm="1">
        <f t="array" ref="Y58">IFERROR(_xlfn.XMATCH(TRUE, ISNUMBER(SEARCH($B$2:$B$201, C58))), 9999)</f>
        <v>50</v>
      </c>
      <c r="Z58" s="7"/>
      <c r="AA58" s="7" t="str">
        <v>최원준 20020108</v>
      </c>
      <c r="AB58" s="7">
        <v>-1</v>
      </c>
      <c r="AC58" s="7">
        <v>1</v>
      </c>
      <c r="AD58" s="7">
        <v>1</v>
      </c>
      <c r="AE58">
        <v>1</v>
      </c>
      <c r="AF58">
        <v>1</v>
      </c>
      <c r="AG58">
        <v>-1</v>
      </c>
      <c r="AH58">
        <v>1</v>
      </c>
      <c r="AI58">
        <v>-1</v>
      </c>
      <c r="AJ58">
        <v>-1</v>
      </c>
      <c r="AK58">
        <v>-1</v>
      </c>
      <c r="AL58">
        <v>1</v>
      </c>
      <c r="AM58">
        <v>1</v>
      </c>
      <c r="AN58">
        <v>-1</v>
      </c>
      <c r="AO58">
        <v>1</v>
      </c>
      <c r="AP58">
        <v>-1</v>
      </c>
      <c r="AQ58">
        <v>-1</v>
      </c>
      <c r="AR58">
        <v>-1</v>
      </c>
      <c r="AS58">
        <v>1</v>
      </c>
      <c r="AT58">
        <v>23</v>
      </c>
      <c r="AU58" t="str">
        <v>N/A</v>
      </c>
      <c r="AV58">
        <v>1</v>
      </c>
    </row>
    <row r="59" spans="1:48" ht="27" thickBot="1" x14ac:dyDescent="0.3">
      <c r="A59" s="25">
        <v>58</v>
      </c>
      <c r="B59" s="25" t="s">
        <v>210</v>
      </c>
      <c r="C59" s="23" t="s">
        <v>276</v>
      </c>
      <c r="D59" s="4">
        <v>-1</v>
      </c>
      <c r="E59" s="4">
        <v>2</v>
      </c>
      <c r="F59" s="4">
        <v>2</v>
      </c>
      <c r="G59" s="4">
        <v>2</v>
      </c>
      <c r="H59" s="4">
        <v>2</v>
      </c>
      <c r="I59" s="4">
        <v>-1</v>
      </c>
      <c r="J59" s="4">
        <v>0</v>
      </c>
      <c r="K59" s="4">
        <v>0</v>
      </c>
      <c r="L59" s="4">
        <v>0</v>
      </c>
      <c r="M59" s="4">
        <v>0</v>
      </c>
      <c r="N59" s="4">
        <v>2</v>
      </c>
      <c r="O59" s="4">
        <v>-1</v>
      </c>
      <c r="P59" s="4">
        <v>0</v>
      </c>
      <c r="Q59" s="4">
        <v>0</v>
      </c>
      <c r="R59" s="4">
        <v>0</v>
      </c>
      <c r="S59" s="4">
        <v>-1</v>
      </c>
      <c r="T59" s="4">
        <v>0</v>
      </c>
      <c r="U59" s="4">
        <v>1</v>
      </c>
      <c r="V59" s="5">
        <v>23</v>
      </c>
      <c r="W59" s="5">
        <v>25</v>
      </c>
      <c r="X59" s="6">
        <v>0</v>
      </c>
      <c r="Y59" s="31" cm="1">
        <f t="array" ref="Y59">IFERROR(_xlfn.XMATCH(TRUE, ISNUMBER(SEARCH($B$2:$B$201, C59))), 9999)</f>
        <v>6</v>
      </c>
      <c r="Z59" s="7"/>
      <c r="AA59" s="7" t="str">
        <v>김진원 1998.01.22</v>
      </c>
      <c r="AB59" s="7">
        <v>0</v>
      </c>
      <c r="AC59" s="7">
        <v>1</v>
      </c>
      <c r="AD59" s="7">
        <v>1</v>
      </c>
      <c r="AE59">
        <v>1</v>
      </c>
      <c r="AF59">
        <v>1</v>
      </c>
      <c r="AG59">
        <v>2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23</v>
      </c>
      <c r="AU59">
        <v>26</v>
      </c>
      <c r="AV59">
        <v>1</v>
      </c>
    </row>
    <row r="60" spans="1:48" ht="27" thickBot="1" x14ac:dyDescent="0.3">
      <c r="A60" s="25">
        <v>59</v>
      </c>
      <c r="B60" s="25" t="s">
        <v>119</v>
      </c>
      <c r="C60" s="8" t="s">
        <v>70</v>
      </c>
      <c r="D60" s="8">
        <v>-2</v>
      </c>
      <c r="E60" s="8">
        <v>2</v>
      </c>
      <c r="F60" s="8">
        <v>1</v>
      </c>
      <c r="G60" s="8">
        <v>2</v>
      </c>
      <c r="H60" s="8">
        <v>2</v>
      </c>
      <c r="I60" s="8">
        <v>0</v>
      </c>
      <c r="J60" s="8">
        <v>2</v>
      </c>
      <c r="K60" s="8">
        <v>1</v>
      </c>
      <c r="L60" s="8">
        <v>2</v>
      </c>
      <c r="M60" s="8">
        <v>0</v>
      </c>
      <c r="N60" s="8">
        <v>1</v>
      </c>
      <c r="O60" s="8">
        <v>-1</v>
      </c>
      <c r="P60" s="8">
        <v>0</v>
      </c>
      <c r="Q60" s="8">
        <v>1</v>
      </c>
      <c r="R60" s="8">
        <v>1</v>
      </c>
      <c r="S60" s="8">
        <v>-1</v>
      </c>
      <c r="T60" s="8">
        <v>-1</v>
      </c>
      <c r="U60" s="8">
        <v>1</v>
      </c>
      <c r="V60" s="9">
        <v>26</v>
      </c>
      <c r="W60" s="8" t="s">
        <v>144</v>
      </c>
      <c r="X60" s="10">
        <v>0</v>
      </c>
      <c r="Y60" s="31" cm="1">
        <f t="array" ref="Y60">IFERROR(_xlfn.XMATCH(TRUE, ISNUMBER(SEARCH($B$2:$B$201, C60))), 9999)</f>
        <v>39</v>
      </c>
      <c r="Z60" s="7"/>
      <c r="AA60" s="7" t="str">
        <v>이두현 2001.10.27</v>
      </c>
      <c r="AB60" s="7">
        <v>-1</v>
      </c>
      <c r="AC60" s="7">
        <v>0</v>
      </c>
      <c r="AD60" s="7">
        <v>1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-1</v>
      </c>
      <c r="AP60">
        <v>0</v>
      </c>
      <c r="AQ60">
        <v>-1</v>
      </c>
      <c r="AR60">
        <v>-1</v>
      </c>
      <c r="AS60">
        <v>-1</v>
      </c>
      <c r="AT60">
        <v>23</v>
      </c>
      <c r="AU60" t="str">
        <v>N/A</v>
      </c>
      <c r="AV60">
        <v>1</v>
      </c>
    </row>
    <row r="61" spans="1:48" ht="39.75" thickBot="1" x14ac:dyDescent="0.3">
      <c r="A61" s="25">
        <v>60</v>
      </c>
      <c r="B61" s="25" t="s">
        <v>211</v>
      </c>
      <c r="C61" s="4" t="s">
        <v>71</v>
      </c>
      <c r="D61" s="4">
        <v>1</v>
      </c>
      <c r="E61" s="4">
        <v>-1</v>
      </c>
      <c r="F61" s="4">
        <v>-1</v>
      </c>
      <c r="G61" s="4">
        <v>1</v>
      </c>
      <c r="H61" s="4">
        <v>-1</v>
      </c>
      <c r="I61" s="4">
        <v>-2</v>
      </c>
      <c r="J61" s="4">
        <v>-2</v>
      </c>
      <c r="K61" s="4">
        <v>-2</v>
      </c>
      <c r="L61" s="4">
        <v>-1</v>
      </c>
      <c r="M61" s="4">
        <v>1</v>
      </c>
      <c r="N61" s="4">
        <v>1</v>
      </c>
      <c r="O61" s="4">
        <v>-1</v>
      </c>
      <c r="P61" s="4">
        <v>-1</v>
      </c>
      <c r="Q61" s="4">
        <v>1</v>
      </c>
      <c r="R61" s="4">
        <v>-1</v>
      </c>
      <c r="S61" s="4">
        <v>-1</v>
      </c>
      <c r="T61" s="4">
        <v>-1</v>
      </c>
      <c r="U61" s="4">
        <v>-2</v>
      </c>
      <c r="V61" s="4" t="s">
        <v>144</v>
      </c>
      <c r="W61" s="4" t="s">
        <v>144</v>
      </c>
      <c r="X61" s="6">
        <v>0</v>
      </c>
      <c r="Y61" s="31" cm="1">
        <f t="array" ref="Y61">IFERROR(_xlfn.XMATCH(TRUE, ISNUMBER(SEARCH($B$2:$B$201, C61))), 9999)</f>
        <v>129</v>
      </c>
      <c r="Z61" s="7"/>
      <c r="AA61" s="7" t="str">
        <v>홍주원/19940304</v>
      </c>
      <c r="AB61" s="7">
        <v>-1</v>
      </c>
      <c r="AC61" s="7">
        <v>0</v>
      </c>
      <c r="AD61" s="7">
        <v>1</v>
      </c>
      <c r="AE61">
        <v>1</v>
      </c>
      <c r="AF61">
        <v>1</v>
      </c>
      <c r="AG61">
        <v>-1</v>
      </c>
      <c r="AH61">
        <v>0</v>
      </c>
      <c r="AI61">
        <v>0</v>
      </c>
      <c r="AJ61">
        <v>-1</v>
      </c>
      <c r="AK61">
        <v>1</v>
      </c>
      <c r="AL61">
        <v>1</v>
      </c>
      <c r="AM61">
        <v>-1</v>
      </c>
      <c r="AN61">
        <v>-1</v>
      </c>
      <c r="AO61">
        <v>0</v>
      </c>
      <c r="AP61">
        <v>-1</v>
      </c>
      <c r="AQ61">
        <v>-1</v>
      </c>
      <c r="AR61">
        <v>-1</v>
      </c>
      <c r="AS61">
        <v>-1</v>
      </c>
      <c r="AT61" t="str">
        <v>N/A</v>
      </c>
      <c r="AU61" t="str">
        <v>N/A</v>
      </c>
      <c r="AV61">
        <v>1</v>
      </c>
    </row>
    <row r="62" spans="1:48" ht="27" thickBot="1" x14ac:dyDescent="0.3">
      <c r="A62" s="25">
        <v>61</v>
      </c>
      <c r="B62" s="25" t="s">
        <v>212</v>
      </c>
      <c r="C62" s="8" t="s">
        <v>72</v>
      </c>
      <c r="D62" s="8">
        <v>-1</v>
      </c>
      <c r="E62" s="8">
        <v>1</v>
      </c>
      <c r="F62" s="8">
        <v>1</v>
      </c>
      <c r="G62" s="8">
        <v>2</v>
      </c>
      <c r="H62" s="8">
        <v>1</v>
      </c>
      <c r="I62" s="8">
        <v>1</v>
      </c>
      <c r="J62" s="8">
        <v>0</v>
      </c>
      <c r="K62" s="8">
        <v>-1</v>
      </c>
      <c r="L62" s="8">
        <v>0</v>
      </c>
      <c r="M62" s="8">
        <v>-1</v>
      </c>
      <c r="N62" s="8">
        <v>1</v>
      </c>
      <c r="O62" s="8">
        <v>-1</v>
      </c>
      <c r="P62" s="8">
        <v>-1</v>
      </c>
      <c r="Q62" s="8">
        <v>0</v>
      </c>
      <c r="R62" s="8">
        <v>1</v>
      </c>
      <c r="S62" s="8">
        <v>-1</v>
      </c>
      <c r="T62" s="8">
        <v>-1</v>
      </c>
      <c r="U62" s="8">
        <v>-1</v>
      </c>
      <c r="V62" s="8">
        <v>24</v>
      </c>
      <c r="W62" s="8">
        <v>27</v>
      </c>
      <c r="X62" s="10">
        <v>1</v>
      </c>
      <c r="Y62" s="31" cm="1">
        <f t="array" ref="Y62">IFERROR(_xlfn.XMATCH(TRUE, ISNUMBER(SEARCH($B$2:$B$201, C62))), 9999)</f>
        <v>129</v>
      </c>
      <c r="Z62" s="7"/>
      <c r="AA62" s="7" t="str">
        <v>천재원 20000519</v>
      </c>
      <c r="AB62" s="7">
        <v>-1</v>
      </c>
      <c r="AC62" s="7">
        <v>1</v>
      </c>
      <c r="AD62" s="7">
        <v>1</v>
      </c>
      <c r="AE62">
        <v>1</v>
      </c>
      <c r="AF62">
        <v>1</v>
      </c>
      <c r="AG62">
        <v>-1</v>
      </c>
      <c r="AH62">
        <v>0</v>
      </c>
      <c r="AI62">
        <v>0</v>
      </c>
      <c r="AJ62">
        <v>-1</v>
      </c>
      <c r="AK62">
        <v>-1</v>
      </c>
      <c r="AL62">
        <v>1</v>
      </c>
      <c r="AM62">
        <v>1</v>
      </c>
      <c r="AN62">
        <v>0</v>
      </c>
      <c r="AO62">
        <v>1</v>
      </c>
      <c r="AP62">
        <v>-1</v>
      </c>
      <c r="AQ62">
        <v>-1</v>
      </c>
      <c r="AR62">
        <v>-1</v>
      </c>
      <c r="AS62">
        <v>1</v>
      </c>
      <c r="AT62">
        <v>23</v>
      </c>
      <c r="AU62" t="str">
        <v>N/A</v>
      </c>
      <c r="AV62">
        <v>1</v>
      </c>
    </row>
    <row r="63" spans="1:48" ht="30.75" thickBot="1" x14ac:dyDescent="0.3">
      <c r="A63" s="25">
        <v>62</v>
      </c>
      <c r="B63" s="33" t="s">
        <v>273</v>
      </c>
      <c r="C63" s="4" t="s">
        <v>73</v>
      </c>
      <c r="D63" s="4">
        <v>-1</v>
      </c>
      <c r="E63" s="4">
        <v>1</v>
      </c>
      <c r="F63" s="4">
        <v>1</v>
      </c>
      <c r="G63" s="4">
        <v>1</v>
      </c>
      <c r="H63" s="4">
        <v>1</v>
      </c>
      <c r="I63" s="4">
        <v>-2</v>
      </c>
      <c r="J63" s="4">
        <v>0</v>
      </c>
      <c r="K63" s="4">
        <v>-1</v>
      </c>
      <c r="L63" s="4">
        <v>-2</v>
      </c>
      <c r="M63" s="4">
        <v>1</v>
      </c>
      <c r="N63" s="4">
        <v>1</v>
      </c>
      <c r="O63" s="4">
        <v>-1</v>
      </c>
      <c r="P63" s="4">
        <v>-1</v>
      </c>
      <c r="Q63" s="4">
        <v>-1</v>
      </c>
      <c r="R63" s="4">
        <v>0</v>
      </c>
      <c r="S63" s="4">
        <v>-2</v>
      </c>
      <c r="T63" s="4">
        <v>-2</v>
      </c>
      <c r="U63" s="4">
        <v>-1</v>
      </c>
      <c r="V63" s="4">
        <v>25</v>
      </c>
      <c r="W63" s="4" t="s">
        <v>144</v>
      </c>
      <c r="X63" s="6">
        <v>0</v>
      </c>
      <c r="Y63" s="31" cm="1">
        <f t="array" ref="Y63">IFERROR(_xlfn.XMATCH(TRUE, ISNUMBER(SEARCH($B$2:$B$201, C63))), 9999)</f>
        <v>87</v>
      </c>
      <c r="Z63" s="7"/>
      <c r="AA63" s="7" t="str">
        <v>박시현 0409</v>
      </c>
      <c r="AB63" s="7">
        <v>-2</v>
      </c>
      <c r="AC63" s="7">
        <v>2</v>
      </c>
      <c r="AD63" s="7">
        <v>2</v>
      </c>
      <c r="AE63">
        <v>2</v>
      </c>
      <c r="AF63">
        <v>2</v>
      </c>
      <c r="AG63">
        <v>0</v>
      </c>
      <c r="AH63">
        <v>2</v>
      </c>
      <c r="AI63">
        <v>2</v>
      </c>
      <c r="AJ63">
        <v>2</v>
      </c>
      <c r="AK63">
        <v>1</v>
      </c>
      <c r="AL63">
        <v>1</v>
      </c>
      <c r="AM63">
        <v>1</v>
      </c>
      <c r="AN63">
        <v>-1</v>
      </c>
      <c r="AO63">
        <v>1</v>
      </c>
      <c r="AP63">
        <v>2</v>
      </c>
      <c r="AQ63">
        <v>-2</v>
      </c>
      <c r="AR63">
        <v>-2</v>
      </c>
      <c r="AS63">
        <v>1</v>
      </c>
      <c r="AT63">
        <v>25</v>
      </c>
      <c r="AU63">
        <v>23</v>
      </c>
      <c r="AV63">
        <v>-1</v>
      </c>
    </row>
    <row r="64" spans="1:48" ht="27" thickBot="1" x14ac:dyDescent="0.3">
      <c r="A64" s="25">
        <v>63</v>
      </c>
      <c r="B64" s="25" t="s">
        <v>213</v>
      </c>
      <c r="C64" s="8" t="s">
        <v>74</v>
      </c>
      <c r="D64" s="8">
        <v>1</v>
      </c>
      <c r="E64" s="8">
        <v>1</v>
      </c>
      <c r="F64" s="8">
        <v>1</v>
      </c>
      <c r="G64" s="8">
        <v>2</v>
      </c>
      <c r="H64" s="8">
        <v>0</v>
      </c>
      <c r="I64" s="8">
        <v>-2</v>
      </c>
      <c r="J64" s="8">
        <v>-1</v>
      </c>
      <c r="K64" s="8">
        <v>1</v>
      </c>
      <c r="L64" s="8">
        <v>0</v>
      </c>
      <c r="M64" s="8">
        <v>-1</v>
      </c>
      <c r="N64" s="8">
        <v>1</v>
      </c>
      <c r="O64" s="8">
        <v>-2</v>
      </c>
      <c r="P64" s="8">
        <v>-2</v>
      </c>
      <c r="Q64" s="8">
        <v>1</v>
      </c>
      <c r="R64" s="8">
        <v>-1</v>
      </c>
      <c r="S64" s="8">
        <v>-2</v>
      </c>
      <c r="T64" s="8">
        <v>-2</v>
      </c>
      <c r="U64" s="8">
        <v>1</v>
      </c>
      <c r="V64" s="8">
        <v>23</v>
      </c>
      <c r="W64" s="8" t="s">
        <v>144</v>
      </c>
      <c r="X64" s="10">
        <v>1</v>
      </c>
      <c r="Y64" s="31" cm="1">
        <f t="array" ref="Y64">IFERROR(_xlfn.XMATCH(TRUE, ISNUMBER(SEARCH($B$2:$B$201, C64))), 9999)</f>
        <v>106</v>
      </c>
      <c r="Z64" s="7"/>
      <c r="AA64" s="7" t="str">
        <v>조연주 19961122</v>
      </c>
      <c r="AB64" s="7">
        <v>-1</v>
      </c>
      <c r="AC64" s="7">
        <v>0</v>
      </c>
      <c r="AD64" s="7">
        <v>0</v>
      </c>
      <c r="AE64">
        <v>1</v>
      </c>
      <c r="AF64">
        <v>0</v>
      </c>
      <c r="AG64">
        <v>-1</v>
      </c>
      <c r="AH64">
        <v>0</v>
      </c>
      <c r="AI64">
        <v>0</v>
      </c>
      <c r="AJ64">
        <v>-1</v>
      </c>
      <c r="AK64">
        <v>-2</v>
      </c>
      <c r="AL64">
        <v>0</v>
      </c>
      <c r="AM64">
        <v>-1</v>
      </c>
      <c r="AN64">
        <v>0</v>
      </c>
      <c r="AO64">
        <v>-1</v>
      </c>
      <c r="AP64">
        <v>-1</v>
      </c>
      <c r="AQ64">
        <v>-2</v>
      </c>
      <c r="AR64">
        <v>0</v>
      </c>
      <c r="AS64">
        <v>0</v>
      </c>
      <c r="AT64">
        <v>22</v>
      </c>
      <c r="AU64">
        <v>29</v>
      </c>
      <c r="AV64">
        <v>1</v>
      </c>
    </row>
    <row r="65" spans="1:48" ht="27" thickBot="1" x14ac:dyDescent="0.3">
      <c r="A65" s="25">
        <v>64</v>
      </c>
      <c r="B65" s="35" t="s">
        <v>214</v>
      </c>
      <c r="C65" s="4" t="s">
        <v>75</v>
      </c>
      <c r="D65" s="4">
        <v>2</v>
      </c>
      <c r="E65" s="4">
        <v>1</v>
      </c>
      <c r="F65" s="4">
        <v>1</v>
      </c>
      <c r="G65" s="4">
        <v>1</v>
      </c>
      <c r="H65" s="4">
        <v>0</v>
      </c>
      <c r="I65" s="4">
        <v>-2</v>
      </c>
      <c r="J65" s="4">
        <v>0</v>
      </c>
      <c r="K65" s="4">
        <v>-1</v>
      </c>
      <c r="L65" s="4">
        <v>-2</v>
      </c>
      <c r="M65" s="4">
        <v>2</v>
      </c>
      <c r="N65" s="4">
        <v>1</v>
      </c>
      <c r="O65" s="4">
        <v>0</v>
      </c>
      <c r="P65" s="4">
        <v>-2</v>
      </c>
      <c r="Q65" s="4">
        <v>1</v>
      </c>
      <c r="R65" s="4">
        <v>-2</v>
      </c>
      <c r="S65" s="4">
        <v>-2</v>
      </c>
      <c r="T65" s="4">
        <v>-2</v>
      </c>
      <c r="U65" s="4">
        <v>1</v>
      </c>
      <c r="V65" s="4">
        <v>27</v>
      </c>
      <c r="W65" s="4" t="s">
        <v>144</v>
      </c>
      <c r="X65" s="6">
        <v>1</v>
      </c>
      <c r="Y65" s="31" cm="1">
        <f t="array" ref="Y65">IFERROR(_xlfn.XMATCH(TRUE, ISNUMBER(SEARCH($B$2:$B$201, C65))), 9999)</f>
        <v>128</v>
      </c>
      <c r="Z65" s="7"/>
      <c r="AA65" s="7" t="str">
        <v>조희운 missing 19970822</v>
      </c>
      <c r="AB65" s="7">
        <v>0</v>
      </c>
      <c r="AC65" s="7">
        <v>0</v>
      </c>
      <c r="AD65" s="7" t="str">
        <v>010-4725-9703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ht="39.75" thickBot="1" x14ac:dyDescent="0.3">
      <c r="A66" s="25">
        <v>65</v>
      </c>
      <c r="B66" s="25" t="s">
        <v>215</v>
      </c>
      <c r="C66" s="22" t="s">
        <v>148</v>
      </c>
      <c r="D66" s="8">
        <v>-1</v>
      </c>
      <c r="E66" s="8">
        <v>2</v>
      </c>
      <c r="F66" s="8">
        <v>1</v>
      </c>
      <c r="G66" s="8">
        <v>1</v>
      </c>
      <c r="H66" s="8">
        <v>2</v>
      </c>
      <c r="I66" s="8">
        <v>-2</v>
      </c>
      <c r="J66" s="8">
        <v>1</v>
      </c>
      <c r="K66" s="8">
        <v>-2</v>
      </c>
      <c r="L66" s="8">
        <v>-2</v>
      </c>
      <c r="M66" s="8">
        <v>-2</v>
      </c>
      <c r="N66" s="8">
        <v>1</v>
      </c>
      <c r="O66" s="8">
        <v>-2</v>
      </c>
      <c r="P66" s="8">
        <v>1</v>
      </c>
      <c r="Q66" s="8">
        <v>0</v>
      </c>
      <c r="R66" s="8">
        <v>-1</v>
      </c>
      <c r="S66" s="8">
        <v>-2</v>
      </c>
      <c r="T66" s="8">
        <v>0</v>
      </c>
      <c r="U66" s="8">
        <v>2</v>
      </c>
      <c r="V66" s="8">
        <v>26</v>
      </c>
      <c r="W66" s="8" t="s">
        <v>144</v>
      </c>
      <c r="X66" s="10">
        <v>-1</v>
      </c>
      <c r="Y66" s="31" cm="1">
        <f t="array" ref="Y66">IFERROR(_xlfn.XMATCH(TRUE, ISNUMBER(SEARCH($B$2:$B$201, C66))), 9999)</f>
        <v>19</v>
      </c>
      <c r="Z66" s="7"/>
      <c r="AA66" s="7" t="str">
        <v>김태협20031125</v>
      </c>
      <c r="AB66" s="7">
        <v>1</v>
      </c>
      <c r="AC66" s="7">
        <v>-1</v>
      </c>
      <c r="AD66" s="7">
        <v>1</v>
      </c>
      <c r="AE66">
        <v>1</v>
      </c>
      <c r="AF66">
        <v>1</v>
      </c>
      <c r="AG66">
        <v>1</v>
      </c>
      <c r="AH66">
        <v>-1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1</v>
      </c>
      <c r="AO66">
        <v>1</v>
      </c>
      <c r="AP66">
        <v>-1</v>
      </c>
      <c r="AQ66">
        <v>1</v>
      </c>
      <c r="AR66">
        <v>1</v>
      </c>
      <c r="AS66">
        <v>1</v>
      </c>
      <c r="AT66">
        <v>23</v>
      </c>
      <c r="AU66" t="str">
        <v>N/A</v>
      </c>
      <c r="AV66">
        <v>1</v>
      </c>
    </row>
    <row r="67" spans="1:48" ht="27" thickBot="1" x14ac:dyDescent="0.3">
      <c r="A67" s="25">
        <v>66</v>
      </c>
      <c r="B67" s="25" t="s">
        <v>216</v>
      </c>
      <c r="C67" s="4" t="s">
        <v>76</v>
      </c>
      <c r="D67" s="4">
        <v>0</v>
      </c>
      <c r="E67" s="4">
        <v>0</v>
      </c>
      <c r="F67" s="4">
        <v>1</v>
      </c>
      <c r="G67" s="4">
        <v>1</v>
      </c>
      <c r="H67" s="4">
        <v>1</v>
      </c>
      <c r="I67" s="4">
        <v>2</v>
      </c>
      <c r="J67" s="4">
        <v>2</v>
      </c>
      <c r="K67" s="4">
        <v>2</v>
      </c>
      <c r="L67" s="4">
        <v>2</v>
      </c>
      <c r="M67" s="4">
        <v>-1</v>
      </c>
      <c r="N67" s="4">
        <v>0</v>
      </c>
      <c r="O67" s="4">
        <v>1</v>
      </c>
      <c r="P67" s="4">
        <v>1</v>
      </c>
      <c r="Q67" s="4">
        <v>1</v>
      </c>
      <c r="R67" s="4">
        <v>-1</v>
      </c>
      <c r="S67" s="4">
        <v>1</v>
      </c>
      <c r="T67" s="4">
        <v>0</v>
      </c>
      <c r="U67" s="4">
        <v>1</v>
      </c>
      <c r="V67" s="4">
        <v>25</v>
      </c>
      <c r="W67" s="4">
        <v>27</v>
      </c>
      <c r="X67" s="6">
        <v>1</v>
      </c>
      <c r="Y67" s="31" cm="1">
        <f t="array" ref="Y67">IFERROR(_xlfn.XMATCH(TRUE, ISNUMBER(SEARCH($B$2:$B$201, C67))), 9999)</f>
        <v>46</v>
      </c>
      <c r="Z67" s="7"/>
      <c r="AA67" s="7" t="str">
        <v>김태균 &lt;2001/12/21&gt;</v>
      </c>
      <c r="AB67" s="7">
        <v>-2</v>
      </c>
      <c r="AC67" s="7">
        <v>2</v>
      </c>
      <c r="AD67" s="7">
        <v>2</v>
      </c>
      <c r="AE67">
        <v>2</v>
      </c>
      <c r="AF67">
        <v>-2</v>
      </c>
      <c r="AG67">
        <v>-2</v>
      </c>
      <c r="AH67">
        <v>2</v>
      </c>
      <c r="AI67">
        <v>-2</v>
      </c>
      <c r="AJ67">
        <v>-2</v>
      </c>
      <c r="AK67">
        <v>1</v>
      </c>
      <c r="AL67">
        <v>2</v>
      </c>
      <c r="AM67">
        <v>-2</v>
      </c>
      <c r="AN67">
        <v>-2</v>
      </c>
      <c r="AO67">
        <v>2</v>
      </c>
      <c r="AP67">
        <v>-2</v>
      </c>
      <c r="AQ67">
        <v>-2</v>
      </c>
      <c r="AR67">
        <v>-2</v>
      </c>
      <c r="AS67">
        <v>2</v>
      </c>
      <c r="AT67">
        <v>25</v>
      </c>
      <c r="AU67">
        <v>28</v>
      </c>
      <c r="AV67">
        <v>-1</v>
      </c>
    </row>
    <row r="68" spans="1:48" ht="27" thickBot="1" x14ac:dyDescent="0.3">
      <c r="A68" s="25">
        <v>67</v>
      </c>
      <c r="B68" s="25" t="s">
        <v>217</v>
      </c>
      <c r="C68" s="8" t="s">
        <v>77</v>
      </c>
      <c r="D68" s="8">
        <v>-2</v>
      </c>
      <c r="E68" s="8">
        <v>1</v>
      </c>
      <c r="F68" s="8">
        <v>1</v>
      </c>
      <c r="G68" s="8">
        <v>0</v>
      </c>
      <c r="H68" s="8">
        <v>0</v>
      </c>
      <c r="I68" s="8">
        <v>-2</v>
      </c>
      <c r="J68" s="8">
        <v>0</v>
      </c>
      <c r="K68" s="8">
        <v>0</v>
      </c>
      <c r="L68" s="8">
        <v>-1</v>
      </c>
      <c r="M68" s="8">
        <v>0</v>
      </c>
      <c r="N68" s="8">
        <v>-1</v>
      </c>
      <c r="O68" s="8">
        <v>-1</v>
      </c>
      <c r="P68" s="8">
        <v>-2</v>
      </c>
      <c r="Q68" s="8">
        <v>0</v>
      </c>
      <c r="R68" s="8">
        <v>-1</v>
      </c>
      <c r="S68" s="8">
        <v>-2</v>
      </c>
      <c r="T68" s="8">
        <v>-2</v>
      </c>
      <c r="U68" s="8">
        <v>0</v>
      </c>
      <c r="V68" s="8">
        <v>24</v>
      </c>
      <c r="W68" s="8" t="s">
        <v>144</v>
      </c>
      <c r="X68" s="10">
        <v>1</v>
      </c>
      <c r="Y68" s="31" cm="1">
        <f t="array" ref="Y68">IFERROR(_xlfn.XMATCH(TRUE, ISNUMBER(SEARCH($B$2:$B$201, C68))), 9999)</f>
        <v>26</v>
      </c>
      <c r="Z68" s="7"/>
      <c r="AA68" s="7" t="str">
        <v>장윤환 .001004</v>
      </c>
      <c r="AB68" s="7">
        <v>1</v>
      </c>
      <c r="AC68" s="7">
        <v>0</v>
      </c>
      <c r="AD68" s="7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-1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27</v>
      </c>
      <c r="AU68" t="str">
        <v>N/A</v>
      </c>
      <c r="AV68">
        <v>0</v>
      </c>
    </row>
    <row r="69" spans="1:48" ht="39.75" thickBot="1" x14ac:dyDescent="0.3">
      <c r="A69" s="25">
        <v>68</v>
      </c>
      <c r="B69" s="26" t="s">
        <v>218</v>
      </c>
      <c r="C69" s="4" t="s">
        <v>78</v>
      </c>
      <c r="D69" s="4">
        <v>-1</v>
      </c>
      <c r="E69" s="4">
        <v>2</v>
      </c>
      <c r="F69" s="4">
        <v>1</v>
      </c>
      <c r="G69" s="4">
        <v>1</v>
      </c>
      <c r="H69" s="4">
        <v>1</v>
      </c>
      <c r="I69" s="4">
        <v>-2</v>
      </c>
      <c r="J69" s="4">
        <v>1</v>
      </c>
      <c r="K69" s="4">
        <v>0</v>
      </c>
      <c r="L69" s="4">
        <v>-1</v>
      </c>
      <c r="M69" s="4">
        <v>1</v>
      </c>
      <c r="N69" s="4">
        <v>1</v>
      </c>
      <c r="O69" s="4">
        <v>0</v>
      </c>
      <c r="P69" s="4">
        <v>-1</v>
      </c>
      <c r="Q69" s="4">
        <v>-1</v>
      </c>
      <c r="R69" s="4">
        <v>1</v>
      </c>
      <c r="S69" s="4">
        <v>-1</v>
      </c>
      <c r="T69" s="4">
        <v>-2</v>
      </c>
      <c r="U69" s="4">
        <v>0</v>
      </c>
      <c r="V69" s="5">
        <v>24</v>
      </c>
      <c r="W69" s="5">
        <v>28</v>
      </c>
      <c r="X69" s="6">
        <v>-1</v>
      </c>
      <c r="Y69" s="31" cm="1">
        <f t="array" ref="Y69">IFERROR(_xlfn.XMATCH(TRUE, ISNUMBER(SEARCH($B$2:$B$201, C69))), 9999)</f>
        <v>88</v>
      </c>
      <c r="Z69" s="7"/>
      <c r="AA69" s="7" t="str">
        <v>이유범 1999.04.08</v>
      </c>
      <c r="AB69" s="7">
        <v>0</v>
      </c>
      <c r="AC69" s="7">
        <v>1</v>
      </c>
      <c r="AD69" s="7">
        <v>1</v>
      </c>
      <c r="AE69">
        <v>1</v>
      </c>
      <c r="AF69">
        <v>1</v>
      </c>
      <c r="AG69">
        <v>-2</v>
      </c>
      <c r="AH69">
        <v>0</v>
      </c>
      <c r="AI69">
        <v>1</v>
      </c>
      <c r="AJ69">
        <v>-2</v>
      </c>
      <c r="AK69">
        <v>1</v>
      </c>
      <c r="AL69">
        <v>1</v>
      </c>
      <c r="AM69">
        <v>-2</v>
      </c>
      <c r="AN69">
        <v>-2</v>
      </c>
      <c r="AO69">
        <v>-2</v>
      </c>
      <c r="AP69">
        <v>0</v>
      </c>
      <c r="AQ69">
        <v>-2</v>
      </c>
      <c r="AR69">
        <v>-2</v>
      </c>
      <c r="AS69">
        <v>0</v>
      </c>
      <c r="AT69">
        <v>25</v>
      </c>
      <c r="AU69">
        <v>23</v>
      </c>
      <c r="AV69">
        <v>-2</v>
      </c>
    </row>
    <row r="70" spans="1:48" ht="27" thickBot="1" x14ac:dyDescent="0.3">
      <c r="A70" s="25">
        <v>69</v>
      </c>
      <c r="B70" s="26" t="s">
        <v>219</v>
      </c>
      <c r="C70" s="8" t="s">
        <v>79</v>
      </c>
      <c r="D70" s="8">
        <v>-1</v>
      </c>
      <c r="E70" s="8">
        <v>1</v>
      </c>
      <c r="F70" s="8">
        <v>1</v>
      </c>
      <c r="G70" s="8">
        <v>1</v>
      </c>
      <c r="H70" s="8">
        <v>1</v>
      </c>
      <c r="I70" s="8">
        <v>-1</v>
      </c>
      <c r="J70" s="8">
        <v>1</v>
      </c>
      <c r="K70" s="8">
        <v>1</v>
      </c>
      <c r="L70" s="8">
        <v>1</v>
      </c>
      <c r="M70" s="8">
        <v>1</v>
      </c>
      <c r="N70" s="8">
        <v>1</v>
      </c>
      <c r="O70" s="8">
        <v>-1</v>
      </c>
      <c r="P70" s="8">
        <v>1</v>
      </c>
      <c r="Q70" s="8">
        <v>-1</v>
      </c>
      <c r="R70" s="8">
        <v>1</v>
      </c>
      <c r="S70" s="8">
        <v>-1</v>
      </c>
      <c r="T70" s="8">
        <v>1</v>
      </c>
      <c r="U70" s="8">
        <v>1</v>
      </c>
      <c r="V70" s="9">
        <v>24</v>
      </c>
      <c r="W70" s="9">
        <v>20</v>
      </c>
      <c r="X70" s="10">
        <v>1</v>
      </c>
      <c r="Y70" s="31" cm="1">
        <f t="array" ref="Y70">IFERROR(_xlfn.XMATCH(TRUE, ISNUMBER(SEARCH($B$2:$B$201, C70))), 9999)</f>
        <v>119</v>
      </c>
      <c r="Z70" s="7"/>
      <c r="AA70" s="7" t="str">
        <v>한수정 / 1996.01.08.</v>
      </c>
      <c r="AB70" s="7">
        <v>-2</v>
      </c>
      <c r="AC70" s="7">
        <v>1</v>
      </c>
      <c r="AD70" s="7">
        <v>2</v>
      </c>
      <c r="AE70">
        <v>2</v>
      </c>
      <c r="AF70">
        <v>2</v>
      </c>
      <c r="AG70">
        <v>-2</v>
      </c>
      <c r="AH70">
        <v>0</v>
      </c>
      <c r="AI70">
        <v>2</v>
      </c>
      <c r="AJ70">
        <v>0</v>
      </c>
      <c r="AK70">
        <v>-1</v>
      </c>
      <c r="AL70">
        <v>1</v>
      </c>
      <c r="AM70">
        <v>-1</v>
      </c>
      <c r="AN70">
        <v>-1</v>
      </c>
      <c r="AO70">
        <v>1</v>
      </c>
      <c r="AP70">
        <v>1</v>
      </c>
      <c r="AQ70">
        <v>-1</v>
      </c>
      <c r="AR70">
        <v>0</v>
      </c>
      <c r="AS70">
        <v>1</v>
      </c>
      <c r="AT70">
        <v>23</v>
      </c>
      <c r="AU70">
        <v>26</v>
      </c>
      <c r="AV70">
        <v>1</v>
      </c>
    </row>
    <row r="71" spans="1:48" ht="27" thickBot="1" x14ac:dyDescent="0.3">
      <c r="A71" s="25">
        <v>70</v>
      </c>
      <c r="B71" s="26" t="s">
        <v>220</v>
      </c>
      <c r="C71" s="4" t="s">
        <v>80</v>
      </c>
      <c r="D71" s="4">
        <v>1</v>
      </c>
      <c r="E71" s="4">
        <v>-1</v>
      </c>
      <c r="F71" s="4">
        <v>-1</v>
      </c>
      <c r="G71" s="4">
        <v>1</v>
      </c>
      <c r="H71" s="4">
        <v>-1</v>
      </c>
      <c r="I71" s="4">
        <v>0</v>
      </c>
      <c r="J71" s="4">
        <v>-1</v>
      </c>
      <c r="K71" s="4">
        <v>-1</v>
      </c>
      <c r="L71" s="4">
        <v>-1</v>
      </c>
      <c r="M71" s="4">
        <v>2</v>
      </c>
      <c r="N71" s="4">
        <v>-1</v>
      </c>
      <c r="O71" s="4">
        <v>-2</v>
      </c>
      <c r="P71" s="4">
        <v>-2</v>
      </c>
      <c r="Q71" s="4">
        <v>-1</v>
      </c>
      <c r="R71" s="4">
        <v>-1</v>
      </c>
      <c r="S71" s="4">
        <v>1</v>
      </c>
      <c r="T71" s="4">
        <v>-2</v>
      </c>
      <c r="U71" s="4">
        <v>-1</v>
      </c>
      <c r="V71" s="5">
        <v>22</v>
      </c>
      <c r="W71" s="5">
        <v>22</v>
      </c>
      <c r="X71" s="6">
        <v>1</v>
      </c>
      <c r="Y71" s="31" cm="1">
        <f t="array" ref="Y71">IFERROR(_xlfn.XMATCH(TRUE, ISNUMBER(SEARCH($B$2:$B$201, C71))), 9999)</f>
        <v>10</v>
      </c>
      <c r="Z71" s="7"/>
      <c r="AA71" s="7" t="str">
        <v>인희원 021114</v>
      </c>
      <c r="AB71" s="7">
        <v>-1</v>
      </c>
      <c r="AC71" s="7">
        <v>1</v>
      </c>
      <c r="AD71" s="7">
        <v>1</v>
      </c>
      <c r="AE71">
        <v>1</v>
      </c>
      <c r="AF71">
        <v>1</v>
      </c>
      <c r="AG71">
        <v>-1</v>
      </c>
      <c r="AH71">
        <v>-1</v>
      </c>
      <c r="AI71">
        <v>-1</v>
      </c>
      <c r="AJ71">
        <v>0</v>
      </c>
      <c r="AK71">
        <v>-1</v>
      </c>
      <c r="AL71">
        <v>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2</v>
      </c>
      <c r="AT71">
        <v>26</v>
      </c>
      <c r="AU71">
        <v>20</v>
      </c>
      <c r="AV71">
        <v>1</v>
      </c>
    </row>
    <row r="72" spans="1:48" ht="30" thickBot="1" x14ac:dyDescent="0.3">
      <c r="A72" s="25">
        <v>71</v>
      </c>
      <c r="B72" s="26" t="s">
        <v>221</v>
      </c>
      <c r="C72" s="22" t="s">
        <v>149</v>
      </c>
      <c r="D72" s="8">
        <v>-1</v>
      </c>
      <c r="E72" s="8">
        <v>0</v>
      </c>
      <c r="F72" s="8">
        <v>1</v>
      </c>
      <c r="G72" s="8">
        <v>1</v>
      </c>
      <c r="H72" s="8">
        <v>0</v>
      </c>
      <c r="I72" s="8">
        <v>-1</v>
      </c>
      <c r="J72" s="8">
        <v>0</v>
      </c>
      <c r="K72" s="8">
        <v>-1</v>
      </c>
      <c r="L72" s="8">
        <v>-1</v>
      </c>
      <c r="M72" s="8">
        <v>0</v>
      </c>
      <c r="N72" s="8">
        <v>1</v>
      </c>
      <c r="O72" s="8">
        <v>0</v>
      </c>
      <c r="P72" s="8">
        <v>0</v>
      </c>
      <c r="Q72" s="8">
        <v>1</v>
      </c>
      <c r="R72" s="8">
        <v>-1</v>
      </c>
      <c r="S72" s="8">
        <v>-1</v>
      </c>
      <c r="T72" s="8">
        <v>-1</v>
      </c>
      <c r="U72" s="8">
        <v>0</v>
      </c>
      <c r="V72" s="9">
        <v>26</v>
      </c>
      <c r="W72" s="9">
        <v>26</v>
      </c>
      <c r="X72" s="10">
        <v>1</v>
      </c>
      <c r="Y72" s="31" cm="1">
        <f t="array" ref="Y72">IFERROR(_xlfn.XMATCH(TRUE, ISNUMBER(SEARCH($B$2:$B$201, C72))), 9999)</f>
        <v>24</v>
      </c>
      <c r="Z72" s="7"/>
      <c r="AA72" s="7" t="str">
        <v>배건희, 2002/02/07</v>
      </c>
      <c r="AB72" s="7">
        <v>0</v>
      </c>
      <c r="AC72" s="7">
        <v>0</v>
      </c>
      <c r="AD72" s="7">
        <v>0</v>
      </c>
      <c r="AE72">
        <v>0</v>
      </c>
      <c r="AF72">
        <v>0</v>
      </c>
      <c r="AG72">
        <v>0</v>
      </c>
      <c r="AH72">
        <v>0</v>
      </c>
      <c r="AI72">
        <v>-1</v>
      </c>
      <c r="AJ72">
        <v>1</v>
      </c>
      <c r="AK72">
        <v>-1</v>
      </c>
      <c r="AL72">
        <v>1</v>
      </c>
      <c r="AM72">
        <v>1</v>
      </c>
      <c r="AN72">
        <v>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23</v>
      </c>
      <c r="AU72">
        <v>27</v>
      </c>
      <c r="AV72">
        <v>1</v>
      </c>
    </row>
    <row r="73" spans="1:48" ht="27" thickBot="1" x14ac:dyDescent="0.3">
      <c r="A73" s="27">
        <v>72</v>
      </c>
      <c r="B73" s="27" t="s">
        <v>222</v>
      </c>
      <c r="C73" s="4" t="s">
        <v>81</v>
      </c>
      <c r="D73" s="4">
        <v>-1</v>
      </c>
      <c r="E73" s="4">
        <v>1</v>
      </c>
      <c r="F73" s="4">
        <v>1</v>
      </c>
      <c r="G73" s="4">
        <v>2</v>
      </c>
      <c r="H73" s="4">
        <v>1</v>
      </c>
      <c r="I73" s="4">
        <v>-1</v>
      </c>
      <c r="J73" s="4">
        <v>1</v>
      </c>
      <c r="K73" s="4">
        <v>1</v>
      </c>
      <c r="L73" s="4">
        <v>-1</v>
      </c>
      <c r="M73" s="4">
        <v>1</v>
      </c>
      <c r="N73" s="4">
        <v>1</v>
      </c>
      <c r="O73" s="4">
        <v>1</v>
      </c>
      <c r="P73" s="4">
        <v>-1</v>
      </c>
      <c r="Q73" s="4">
        <v>1</v>
      </c>
      <c r="R73" s="4">
        <v>0</v>
      </c>
      <c r="S73" s="4">
        <v>-1</v>
      </c>
      <c r="T73" s="4">
        <v>-1</v>
      </c>
      <c r="U73" s="4">
        <v>0</v>
      </c>
      <c r="V73" s="5">
        <v>25</v>
      </c>
      <c r="W73" s="5">
        <v>28</v>
      </c>
      <c r="X73" s="6">
        <v>-1</v>
      </c>
      <c r="Y73" s="31" cm="1">
        <f t="array" ref="Y73">IFERROR(_xlfn.XMATCH(TRUE, ISNUMBER(SEARCH($B$2:$B$201, C73))), 9999)</f>
        <v>82</v>
      </c>
      <c r="Z73" s="7"/>
      <c r="AA73" s="7" t="str">
        <v>송은성/ 001130</v>
      </c>
      <c r="AB73" s="7">
        <v>0</v>
      </c>
      <c r="AC73" s="7">
        <v>2</v>
      </c>
      <c r="AD73" s="7">
        <v>0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1</v>
      </c>
      <c r="AK73">
        <v>2</v>
      </c>
      <c r="AL73">
        <v>2</v>
      </c>
      <c r="AM73">
        <v>-1</v>
      </c>
      <c r="AN73">
        <v>0</v>
      </c>
      <c r="AO73">
        <v>1</v>
      </c>
      <c r="AP73">
        <v>2</v>
      </c>
      <c r="AQ73">
        <v>-1</v>
      </c>
      <c r="AR73">
        <v>-1</v>
      </c>
      <c r="AS73">
        <v>2</v>
      </c>
      <c r="AT73">
        <v>24</v>
      </c>
      <c r="AU73">
        <v>26</v>
      </c>
      <c r="AV73">
        <v>1</v>
      </c>
    </row>
    <row r="74" spans="1:48" ht="28.5" thickBot="1" x14ac:dyDescent="0.4">
      <c r="A74" s="25">
        <v>73</v>
      </c>
      <c r="B74" s="37" t="s">
        <v>280</v>
      </c>
      <c r="C74" s="8" t="s">
        <v>82</v>
      </c>
      <c r="D74" s="8">
        <v>0</v>
      </c>
      <c r="E74" s="8">
        <v>-1</v>
      </c>
      <c r="F74" s="8">
        <v>-1</v>
      </c>
      <c r="G74" s="8">
        <v>1</v>
      </c>
      <c r="H74" s="8">
        <v>-1</v>
      </c>
      <c r="I74" s="8">
        <v>-2</v>
      </c>
      <c r="J74" s="8">
        <v>-1</v>
      </c>
      <c r="K74" s="8">
        <v>-1</v>
      </c>
      <c r="L74" s="8">
        <v>-2</v>
      </c>
      <c r="M74" s="8">
        <v>0</v>
      </c>
      <c r="N74" s="8">
        <v>1</v>
      </c>
      <c r="O74" s="8">
        <v>-1</v>
      </c>
      <c r="P74" s="8">
        <v>-1</v>
      </c>
      <c r="Q74" s="8">
        <v>1</v>
      </c>
      <c r="R74" s="8">
        <v>-1</v>
      </c>
      <c r="S74" s="8">
        <v>-1</v>
      </c>
      <c r="T74" s="8">
        <v>-1</v>
      </c>
      <c r="U74" s="8">
        <v>-1</v>
      </c>
      <c r="V74" s="9">
        <v>23</v>
      </c>
      <c r="W74" s="9">
        <v>25</v>
      </c>
      <c r="X74" s="10">
        <v>1</v>
      </c>
      <c r="Y74" s="31" cm="1">
        <f t="array" ref="Y74">IFERROR(_xlfn.XMATCH(TRUE, ISNUMBER(SEARCH($B$2:$B$201, C74))), 9999)</f>
        <v>2</v>
      </c>
      <c r="Z74" s="7"/>
      <c r="AA74" s="7" t="str">
        <v>최현우 990509</v>
      </c>
      <c r="AB74" s="7">
        <v>-1</v>
      </c>
      <c r="AC74" s="7">
        <v>1</v>
      </c>
      <c r="AD74" s="7">
        <v>1</v>
      </c>
      <c r="AE74">
        <v>1</v>
      </c>
      <c r="AF74">
        <v>1</v>
      </c>
      <c r="AG74">
        <v>-1</v>
      </c>
      <c r="AH74">
        <v>0</v>
      </c>
      <c r="AI74">
        <v>0</v>
      </c>
      <c r="AJ74">
        <v>-1</v>
      </c>
      <c r="AK74">
        <v>0</v>
      </c>
      <c r="AL74">
        <v>1</v>
      </c>
      <c r="AM74">
        <v>0</v>
      </c>
      <c r="AN74">
        <v>-1</v>
      </c>
      <c r="AO74">
        <v>0</v>
      </c>
      <c r="AP74">
        <v>-1</v>
      </c>
      <c r="AQ74">
        <v>-1</v>
      </c>
      <c r="AR74">
        <v>-1</v>
      </c>
      <c r="AS74">
        <v>0</v>
      </c>
      <c r="AT74">
        <v>24</v>
      </c>
      <c r="AU74" t="str">
        <v>N/A</v>
      </c>
      <c r="AV74">
        <v>1</v>
      </c>
    </row>
    <row r="75" spans="1:48" ht="26.25" thickBot="1" x14ac:dyDescent="0.3">
      <c r="A75" s="25">
        <v>74</v>
      </c>
      <c r="B75" s="25" t="s">
        <v>223</v>
      </c>
      <c r="C75" s="4" t="s">
        <v>83</v>
      </c>
      <c r="D75" s="4">
        <v>0</v>
      </c>
      <c r="E75" s="4">
        <v>1</v>
      </c>
      <c r="F75" s="4">
        <v>1</v>
      </c>
      <c r="G75" s="4">
        <v>1</v>
      </c>
      <c r="H75" s="4">
        <v>0</v>
      </c>
      <c r="I75" s="4">
        <v>-2</v>
      </c>
      <c r="J75" s="4">
        <v>-1</v>
      </c>
      <c r="K75" s="4">
        <v>-1</v>
      </c>
      <c r="L75" s="4">
        <v>0</v>
      </c>
      <c r="M75" s="4">
        <v>-1</v>
      </c>
      <c r="N75" s="4">
        <v>1</v>
      </c>
      <c r="O75" s="4">
        <v>0</v>
      </c>
      <c r="P75" s="4">
        <v>-1</v>
      </c>
      <c r="Q75" s="4">
        <v>-2</v>
      </c>
      <c r="R75" s="4">
        <v>0</v>
      </c>
      <c r="S75" s="4">
        <v>-2</v>
      </c>
      <c r="T75" s="4">
        <v>-2</v>
      </c>
      <c r="U75" s="4">
        <v>1</v>
      </c>
      <c r="V75" s="5">
        <v>24</v>
      </c>
      <c r="W75" s="5">
        <v>27</v>
      </c>
      <c r="X75" s="6">
        <v>1</v>
      </c>
      <c r="Y75" s="31" cm="1">
        <f t="array" ref="Y75">IFERROR(_xlfn.XMATCH(TRUE, ISNUMBER(SEARCH($B$2:$B$201, C75))), 9999)</f>
        <v>42</v>
      </c>
      <c r="Z75" s="7"/>
      <c r="AA75" s="7" t="str">
        <v>이석재 2000/05/06</v>
      </c>
      <c r="AB75" s="7">
        <v>-1</v>
      </c>
      <c r="AC75" s="7">
        <v>2</v>
      </c>
      <c r="AD75" s="7">
        <v>2</v>
      </c>
      <c r="AE75">
        <v>2</v>
      </c>
      <c r="AF75">
        <v>2</v>
      </c>
      <c r="AG75">
        <v>-1</v>
      </c>
      <c r="AH75">
        <v>1</v>
      </c>
      <c r="AI75">
        <v>0</v>
      </c>
      <c r="AJ75">
        <v>-2</v>
      </c>
      <c r="AK75">
        <v>-1</v>
      </c>
      <c r="AL75">
        <v>2</v>
      </c>
      <c r="AM75">
        <v>-1</v>
      </c>
      <c r="AN75">
        <v>-1</v>
      </c>
      <c r="AO75">
        <v>1</v>
      </c>
      <c r="AP75">
        <v>0</v>
      </c>
      <c r="AQ75">
        <v>-1</v>
      </c>
      <c r="AR75">
        <v>0</v>
      </c>
      <c r="AS75">
        <v>2</v>
      </c>
      <c r="AT75">
        <v>24</v>
      </c>
      <c r="AU75" t="str">
        <v>N/A</v>
      </c>
      <c r="AV75">
        <v>1</v>
      </c>
    </row>
    <row r="76" spans="1:48" ht="26.25" thickBot="1" x14ac:dyDescent="0.4">
      <c r="A76" s="25">
        <v>75</v>
      </c>
      <c r="B76" s="41" t="s">
        <v>281</v>
      </c>
      <c r="C76" s="8" t="s">
        <v>84</v>
      </c>
      <c r="D76" s="8">
        <v>1</v>
      </c>
      <c r="E76" s="8">
        <v>-1</v>
      </c>
      <c r="F76" s="8">
        <v>-1</v>
      </c>
      <c r="G76" s="8">
        <v>1</v>
      </c>
      <c r="H76" s="8">
        <v>-1</v>
      </c>
      <c r="I76" s="8">
        <v>0</v>
      </c>
      <c r="J76" s="8">
        <v>0</v>
      </c>
      <c r="K76" s="8">
        <v>-1</v>
      </c>
      <c r="L76" s="8">
        <v>0</v>
      </c>
      <c r="M76" s="8">
        <v>-1</v>
      </c>
      <c r="N76" s="8">
        <v>-1</v>
      </c>
      <c r="O76" s="8">
        <v>0</v>
      </c>
      <c r="P76" s="8">
        <v>0</v>
      </c>
      <c r="Q76" s="8">
        <v>-1</v>
      </c>
      <c r="R76" s="8">
        <v>0</v>
      </c>
      <c r="S76" s="8">
        <v>0</v>
      </c>
      <c r="T76" s="8">
        <v>-1</v>
      </c>
      <c r="U76" s="8">
        <v>-1</v>
      </c>
      <c r="V76" s="9">
        <v>20</v>
      </c>
      <c r="W76" s="8" t="s">
        <v>144</v>
      </c>
      <c r="X76" s="10">
        <v>1</v>
      </c>
      <c r="Y76" s="31" cm="1">
        <f t="array" ref="Y76">IFERROR(_xlfn.XMATCH(TRUE, ISNUMBER(SEARCH($B$2:$B$201, C76))), 9999)</f>
        <v>18</v>
      </c>
      <c r="Z76" s="7"/>
      <c r="AA76" s="7" t="str">
        <v>김은성 평균</v>
      </c>
      <c r="AB76" s="7">
        <v>0</v>
      </c>
      <c r="AC76" s="7">
        <v>1</v>
      </c>
      <c r="AD76" s="7">
        <v>1</v>
      </c>
      <c r="AE76">
        <v>1</v>
      </c>
      <c r="AF76">
        <v>1</v>
      </c>
      <c r="AG76">
        <v>1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0</v>
      </c>
      <c r="AO76">
        <v>1</v>
      </c>
      <c r="AP76">
        <v>0</v>
      </c>
      <c r="AQ76">
        <v>1</v>
      </c>
      <c r="AR76">
        <v>1</v>
      </c>
      <c r="AS76">
        <v>1</v>
      </c>
      <c r="AT76">
        <v>28</v>
      </c>
      <c r="AU76">
        <v>0</v>
      </c>
      <c r="AV76">
        <v>2</v>
      </c>
    </row>
    <row r="77" spans="1:48" ht="39" customHeight="1" thickBot="1" x14ac:dyDescent="0.4">
      <c r="A77" s="25">
        <v>76</v>
      </c>
      <c r="B77" s="41" t="s">
        <v>282</v>
      </c>
      <c r="C77" s="4" t="s">
        <v>85</v>
      </c>
      <c r="D77" s="4">
        <v>-1</v>
      </c>
      <c r="E77" s="4">
        <v>1</v>
      </c>
      <c r="F77" s="4">
        <v>1</v>
      </c>
      <c r="G77" s="4">
        <v>2</v>
      </c>
      <c r="H77" s="4">
        <v>1</v>
      </c>
      <c r="I77" s="4">
        <v>0</v>
      </c>
      <c r="J77" s="4">
        <v>0</v>
      </c>
      <c r="K77" s="4">
        <v>1</v>
      </c>
      <c r="L77" s="4">
        <v>1</v>
      </c>
      <c r="M77" s="4">
        <v>0</v>
      </c>
      <c r="N77" s="4">
        <v>1</v>
      </c>
      <c r="O77" s="4">
        <v>-1</v>
      </c>
      <c r="P77" s="4">
        <v>1</v>
      </c>
      <c r="Q77" s="4">
        <v>1</v>
      </c>
      <c r="R77" s="4">
        <v>-1</v>
      </c>
      <c r="S77" s="4">
        <v>-1</v>
      </c>
      <c r="T77" s="4">
        <v>1</v>
      </c>
      <c r="U77" s="4">
        <v>1</v>
      </c>
      <c r="V77" s="5">
        <v>24</v>
      </c>
      <c r="W77" s="4" t="s">
        <v>144</v>
      </c>
      <c r="X77" s="6">
        <v>1</v>
      </c>
      <c r="Y77" s="31" cm="1">
        <f t="array" ref="Y77">IFERROR(_xlfn.XMATCH(TRUE, ISNUMBER(SEARCH($B$2:$B$201, C77))), 9999)</f>
        <v>23</v>
      </c>
      <c r="Z77" s="7"/>
      <c r="AA77" s="7" t="str">
        <v>김현하 평균</v>
      </c>
      <c r="AB77" s="7">
        <v>-2</v>
      </c>
      <c r="AC77" s="7">
        <v>2</v>
      </c>
      <c r="AD77" s="7">
        <v>0</v>
      </c>
      <c r="AE77">
        <v>2</v>
      </c>
      <c r="AF77">
        <v>-1</v>
      </c>
      <c r="AG77">
        <v>-2</v>
      </c>
      <c r="AH77">
        <v>-1</v>
      </c>
      <c r="AI77">
        <v>-2</v>
      </c>
      <c r="AJ77">
        <v>-2</v>
      </c>
      <c r="AK77">
        <v>2</v>
      </c>
      <c r="AL77">
        <v>2</v>
      </c>
      <c r="AM77">
        <v>-2</v>
      </c>
      <c r="AN77">
        <v>-2</v>
      </c>
      <c r="AO77">
        <v>-1</v>
      </c>
      <c r="AP77">
        <v>-2</v>
      </c>
      <c r="AQ77">
        <v>-2</v>
      </c>
      <c r="AR77">
        <v>-2</v>
      </c>
      <c r="AS77">
        <v>-1</v>
      </c>
      <c r="AT77">
        <v>27</v>
      </c>
      <c r="AU77">
        <v>30</v>
      </c>
      <c r="AV77">
        <v>1</v>
      </c>
    </row>
    <row r="78" spans="1:48" ht="45.75" customHeight="1" thickBot="1" x14ac:dyDescent="0.3">
      <c r="A78" s="25">
        <v>77</v>
      </c>
      <c r="B78" s="26" t="s">
        <v>224</v>
      </c>
      <c r="C78" s="22" t="s">
        <v>291</v>
      </c>
      <c r="D78" s="8">
        <v>1</v>
      </c>
      <c r="E78" s="8">
        <v>-1</v>
      </c>
      <c r="F78" s="8">
        <v>1</v>
      </c>
      <c r="G78" s="8">
        <v>1</v>
      </c>
      <c r="H78" s="8">
        <v>0</v>
      </c>
      <c r="I78" s="8">
        <v>-2</v>
      </c>
      <c r="J78" s="8">
        <v>-1</v>
      </c>
      <c r="K78" s="8">
        <v>-1</v>
      </c>
      <c r="L78" s="8">
        <v>0</v>
      </c>
      <c r="M78" s="8">
        <v>1</v>
      </c>
      <c r="N78" s="8">
        <v>1</v>
      </c>
      <c r="O78" s="8">
        <v>-1</v>
      </c>
      <c r="P78" s="8">
        <v>-1</v>
      </c>
      <c r="Q78" s="8">
        <v>1</v>
      </c>
      <c r="R78" s="8">
        <v>-1</v>
      </c>
      <c r="S78" s="8">
        <v>-1</v>
      </c>
      <c r="T78" s="8">
        <v>-1</v>
      </c>
      <c r="U78" s="8">
        <v>0</v>
      </c>
      <c r="V78" s="9">
        <v>25</v>
      </c>
      <c r="W78" s="8" t="s">
        <v>144</v>
      </c>
      <c r="X78" s="10">
        <v>-2</v>
      </c>
      <c r="Y78" s="31" cm="1">
        <f t="array" ref="Y78">IFERROR(_xlfn.XMATCH(TRUE, ISNUMBER(SEARCH($B$2:$B$201, C78))), 9999)</f>
        <v>116</v>
      </c>
      <c r="Z78" s="7"/>
      <c r="AA78" s="7" t="str">
        <v>박선우 / 20030808</v>
      </c>
      <c r="AB78" s="7">
        <v>-1</v>
      </c>
      <c r="AC78" s="7">
        <v>2</v>
      </c>
      <c r="AD78" s="7">
        <v>1</v>
      </c>
      <c r="AE78">
        <v>1</v>
      </c>
      <c r="AF78">
        <v>0</v>
      </c>
      <c r="AG78">
        <v>-1</v>
      </c>
      <c r="AH78">
        <v>0</v>
      </c>
      <c r="AI78">
        <v>-1</v>
      </c>
      <c r="AJ78">
        <v>1</v>
      </c>
      <c r="AK78">
        <v>-1</v>
      </c>
      <c r="AL78">
        <v>1</v>
      </c>
      <c r="AM78">
        <v>-1</v>
      </c>
      <c r="AN78">
        <v>-1</v>
      </c>
      <c r="AO78">
        <v>0</v>
      </c>
      <c r="AP78">
        <v>0</v>
      </c>
      <c r="AQ78">
        <v>-1</v>
      </c>
      <c r="AR78">
        <v>-1</v>
      </c>
      <c r="AS78">
        <v>0</v>
      </c>
      <c r="AT78">
        <v>26</v>
      </c>
      <c r="AU78" t="str">
        <v>N/A</v>
      </c>
      <c r="AV78">
        <v>1</v>
      </c>
    </row>
    <row r="79" spans="1:48" ht="27" thickBot="1" x14ac:dyDescent="0.3">
      <c r="A79" s="25">
        <v>78</v>
      </c>
      <c r="B79" s="26" t="s">
        <v>225</v>
      </c>
      <c r="C79" s="4" t="s">
        <v>86</v>
      </c>
      <c r="D79" s="4">
        <v>-1</v>
      </c>
      <c r="E79" s="4">
        <v>0</v>
      </c>
      <c r="F79" s="4">
        <v>1</v>
      </c>
      <c r="G79" s="4">
        <v>1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 t="s">
        <v>144</v>
      </c>
      <c r="W79" s="4" t="s">
        <v>144</v>
      </c>
      <c r="X79" s="6">
        <v>0</v>
      </c>
      <c r="Y79" s="31" cm="1">
        <f t="array" ref="Y79">IFERROR(_xlfn.XMATCH(TRUE, ISNUMBER(SEARCH($B$2:$B$201, C79))), 9999)</f>
        <v>38</v>
      </c>
      <c r="Z79" s="7"/>
      <c r="AA79" s="7" t="str">
        <v>문정윤 020305</v>
      </c>
      <c r="AB79" s="7">
        <v>-2</v>
      </c>
      <c r="AC79" s="7">
        <v>2</v>
      </c>
      <c r="AD79" s="7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1</v>
      </c>
      <c r="AQ79">
        <v>-1</v>
      </c>
      <c r="AR79">
        <v>2</v>
      </c>
      <c r="AS79">
        <v>2</v>
      </c>
      <c r="AT79">
        <v>26</v>
      </c>
      <c r="AU79">
        <v>23</v>
      </c>
      <c r="AV79">
        <v>1</v>
      </c>
    </row>
    <row r="80" spans="1:48" ht="27" thickBot="1" x14ac:dyDescent="0.3">
      <c r="A80" s="25">
        <v>79</v>
      </c>
      <c r="B80" s="26" t="s">
        <v>226</v>
      </c>
      <c r="C80" s="8" t="s">
        <v>87</v>
      </c>
      <c r="D80" s="8">
        <v>-2</v>
      </c>
      <c r="E80" s="8">
        <v>0</v>
      </c>
      <c r="F80" s="8">
        <v>0</v>
      </c>
      <c r="G80" s="8">
        <v>1</v>
      </c>
      <c r="H80" s="8">
        <v>1</v>
      </c>
      <c r="I80" s="8">
        <v>-2</v>
      </c>
      <c r="J80" s="8">
        <v>1</v>
      </c>
      <c r="K80" s="8">
        <v>-1</v>
      </c>
      <c r="L80" s="8">
        <v>0</v>
      </c>
      <c r="M80" s="8">
        <v>-2</v>
      </c>
      <c r="N80" s="8">
        <v>1</v>
      </c>
      <c r="O80" s="8">
        <v>-2</v>
      </c>
      <c r="P80" s="8">
        <v>-1</v>
      </c>
      <c r="Q80" s="8">
        <v>-2</v>
      </c>
      <c r="R80" s="8">
        <v>0</v>
      </c>
      <c r="S80" s="8">
        <v>-2</v>
      </c>
      <c r="T80" s="8">
        <v>0</v>
      </c>
      <c r="U80" s="8">
        <v>0</v>
      </c>
      <c r="V80" s="9">
        <v>26</v>
      </c>
      <c r="W80" s="8" t="s">
        <v>144</v>
      </c>
      <c r="X80" s="10">
        <v>1</v>
      </c>
      <c r="Y80" s="31" cm="1">
        <f t="array" ref="Y80">IFERROR(_xlfn.XMATCH(TRUE, ISNUMBER(SEARCH($B$2:$B$201, C80))), 9999)</f>
        <v>30</v>
      </c>
      <c r="Z80" s="7"/>
      <c r="AA80" s="7" t="str">
        <v>이지혜 051021</v>
      </c>
      <c r="AB80" s="7">
        <v>-1</v>
      </c>
      <c r="AC80" s="7">
        <v>1</v>
      </c>
      <c r="AD80" s="7">
        <v>1</v>
      </c>
      <c r="AE80">
        <v>1</v>
      </c>
      <c r="AF80">
        <v>1</v>
      </c>
      <c r="AG80">
        <v>-1</v>
      </c>
      <c r="AH80">
        <v>1</v>
      </c>
      <c r="AI80">
        <v>-1</v>
      </c>
      <c r="AJ80">
        <v>-1</v>
      </c>
      <c r="AK80">
        <v>-1</v>
      </c>
      <c r="AL80">
        <v>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26</v>
      </c>
      <c r="AU80">
        <v>23</v>
      </c>
      <c r="AV80">
        <v>-1</v>
      </c>
    </row>
    <row r="81" spans="1:48" ht="27" thickBot="1" x14ac:dyDescent="0.3">
      <c r="A81" s="25">
        <v>80</v>
      </c>
      <c r="B81" s="26" t="s">
        <v>227</v>
      </c>
      <c r="C81" s="4" t="s">
        <v>88</v>
      </c>
      <c r="D81" s="4">
        <v>-1</v>
      </c>
      <c r="E81" s="4">
        <v>1</v>
      </c>
      <c r="F81" s="4">
        <v>0</v>
      </c>
      <c r="G81" s="4">
        <v>1</v>
      </c>
      <c r="H81" s="4">
        <v>-1</v>
      </c>
      <c r="I81" s="4">
        <v>-1</v>
      </c>
      <c r="J81" s="4">
        <v>-1</v>
      </c>
      <c r="K81" s="4">
        <v>-1</v>
      </c>
      <c r="L81" s="4">
        <v>-1</v>
      </c>
      <c r="M81" s="4">
        <v>-1</v>
      </c>
      <c r="N81" s="4">
        <v>0</v>
      </c>
      <c r="O81" s="4">
        <v>-1</v>
      </c>
      <c r="P81" s="4">
        <v>-1</v>
      </c>
      <c r="Q81" s="4">
        <v>0</v>
      </c>
      <c r="R81" s="4">
        <v>-1</v>
      </c>
      <c r="S81" s="4">
        <v>-1</v>
      </c>
      <c r="T81" s="4">
        <v>-1</v>
      </c>
      <c r="U81" s="4">
        <v>0</v>
      </c>
      <c r="V81" s="4" t="s">
        <v>144</v>
      </c>
      <c r="W81" s="4" t="s">
        <v>144</v>
      </c>
      <c r="X81" s="6">
        <v>0</v>
      </c>
      <c r="Y81" s="31" cm="1">
        <f t="array" ref="Y81">IFERROR(_xlfn.XMATCH(TRUE, ISNUMBER(SEARCH($B$2:$B$201, C81))), 9999)</f>
        <v>107</v>
      </c>
      <c r="Z81" s="7"/>
      <c r="AA81" s="7" t="str">
        <v>김혜원 050201</v>
      </c>
      <c r="AB81" s="7">
        <v>0</v>
      </c>
      <c r="AC81" s="7">
        <v>0</v>
      </c>
      <c r="AD81" s="7">
        <v>-2</v>
      </c>
      <c r="AE81">
        <v>0</v>
      </c>
      <c r="AF81">
        <v>0</v>
      </c>
      <c r="AG81">
        <v>-1</v>
      </c>
      <c r="AH81">
        <v>-1</v>
      </c>
      <c r="AI81">
        <v>1</v>
      </c>
      <c r="AJ81">
        <v>-1</v>
      </c>
      <c r="AK81">
        <v>-2</v>
      </c>
      <c r="AL81">
        <v>0</v>
      </c>
      <c r="AM81">
        <v>1</v>
      </c>
      <c r="AN81">
        <v>-1</v>
      </c>
      <c r="AO81">
        <v>1</v>
      </c>
      <c r="AP81">
        <v>-1</v>
      </c>
      <c r="AQ81">
        <v>1</v>
      </c>
      <c r="AR81">
        <v>-1</v>
      </c>
      <c r="AS81">
        <v>-1</v>
      </c>
      <c r="AT81">
        <v>28</v>
      </c>
      <c r="AU81" t="str">
        <v>N/A</v>
      </c>
      <c r="AV81">
        <v>1</v>
      </c>
    </row>
    <row r="82" spans="1:48" ht="27" thickBot="1" x14ac:dyDescent="0.3">
      <c r="A82" s="25">
        <v>81</v>
      </c>
      <c r="B82" s="26" t="s">
        <v>228</v>
      </c>
      <c r="C82" s="40" t="s">
        <v>281</v>
      </c>
      <c r="D82" s="8">
        <v>0</v>
      </c>
      <c r="E82" s="8">
        <v>1</v>
      </c>
      <c r="F82" s="8">
        <v>1</v>
      </c>
      <c r="G82" s="8">
        <v>1</v>
      </c>
      <c r="H82" s="8">
        <v>1</v>
      </c>
      <c r="I82" s="8">
        <v>1</v>
      </c>
      <c r="J82" s="8">
        <v>0</v>
      </c>
      <c r="K82" s="8">
        <v>1</v>
      </c>
      <c r="L82" s="8">
        <v>1</v>
      </c>
      <c r="M82" s="8">
        <v>1</v>
      </c>
      <c r="N82" s="8">
        <v>1</v>
      </c>
      <c r="O82" s="8">
        <v>1</v>
      </c>
      <c r="P82" s="8">
        <v>0</v>
      </c>
      <c r="Q82" s="8">
        <v>1</v>
      </c>
      <c r="R82" s="8">
        <v>0</v>
      </c>
      <c r="S82" s="8">
        <v>1</v>
      </c>
      <c r="T82" s="8">
        <v>1</v>
      </c>
      <c r="U82" s="8">
        <v>1</v>
      </c>
      <c r="V82" s="9">
        <v>28</v>
      </c>
      <c r="W82" s="8"/>
      <c r="X82" s="10">
        <v>2</v>
      </c>
      <c r="Y82" s="31" cm="1">
        <f t="array" ref="Y82">IFERROR(_xlfn.XMATCH(TRUE, ISNUMBER(SEARCH($B$2:$B$201, C82))), 9999)</f>
        <v>75</v>
      </c>
      <c r="Z82" s="7"/>
      <c r="AA82" s="7" t="str">
        <v>박정필 / 2000.05.02</v>
      </c>
      <c r="AB82" s="7">
        <v>-2</v>
      </c>
      <c r="AC82" s="7">
        <v>1</v>
      </c>
      <c r="AD82" s="7">
        <v>1</v>
      </c>
      <c r="AE82">
        <v>2</v>
      </c>
      <c r="AF82">
        <v>1</v>
      </c>
      <c r="AG82">
        <v>-2</v>
      </c>
      <c r="AH82">
        <v>1</v>
      </c>
      <c r="AI82">
        <v>0</v>
      </c>
      <c r="AJ82">
        <v>0</v>
      </c>
      <c r="AK82">
        <v>0</v>
      </c>
      <c r="AL82">
        <v>2</v>
      </c>
      <c r="AM82">
        <v>-2</v>
      </c>
      <c r="AN82">
        <v>-1</v>
      </c>
      <c r="AO82">
        <v>0</v>
      </c>
      <c r="AP82">
        <v>0</v>
      </c>
      <c r="AQ82">
        <v>-1</v>
      </c>
      <c r="AR82">
        <v>0</v>
      </c>
      <c r="AS82">
        <v>1</v>
      </c>
      <c r="AT82">
        <v>25</v>
      </c>
      <c r="AU82" t="str">
        <v>N/A</v>
      </c>
      <c r="AV82">
        <v>0</v>
      </c>
    </row>
    <row r="83" spans="1:48" ht="27" thickBot="1" x14ac:dyDescent="0.3">
      <c r="A83" s="25">
        <v>82</v>
      </c>
      <c r="B83" s="26" t="s">
        <v>229</v>
      </c>
      <c r="C83" s="8" t="s">
        <v>89</v>
      </c>
      <c r="D83" s="8">
        <v>-2</v>
      </c>
      <c r="E83" s="8">
        <v>2</v>
      </c>
      <c r="F83" s="8">
        <v>2</v>
      </c>
      <c r="G83" s="8">
        <v>2</v>
      </c>
      <c r="H83" s="8">
        <v>2</v>
      </c>
      <c r="I83" s="8">
        <v>2</v>
      </c>
      <c r="J83" s="8">
        <v>2</v>
      </c>
      <c r="K83" s="8">
        <v>2</v>
      </c>
      <c r="L83" s="8">
        <v>2</v>
      </c>
      <c r="M83" s="8">
        <v>2</v>
      </c>
      <c r="N83" s="8">
        <v>2</v>
      </c>
      <c r="O83" s="8">
        <v>-1</v>
      </c>
      <c r="P83" s="8">
        <v>1</v>
      </c>
      <c r="Q83" s="8">
        <v>-1</v>
      </c>
      <c r="R83" s="8">
        <v>2</v>
      </c>
      <c r="S83" s="8">
        <v>-1</v>
      </c>
      <c r="T83" s="8">
        <v>1</v>
      </c>
      <c r="U83" s="8">
        <v>1</v>
      </c>
      <c r="V83" s="9">
        <v>24</v>
      </c>
      <c r="W83" s="9">
        <v>26</v>
      </c>
      <c r="X83" s="10">
        <v>1</v>
      </c>
      <c r="Y83" s="31" cm="1">
        <f t="array" ref="Y83">IFERROR(_xlfn.XMATCH(TRUE, ISNUMBER(SEARCH($B$2:$B$201, C83))), 9999)</f>
        <v>129</v>
      </c>
      <c r="Z83" s="7"/>
      <c r="AA83" s="7" t="str">
        <v>김남우 / 19941119</v>
      </c>
      <c r="AB83" s="7">
        <v>-1</v>
      </c>
      <c r="AC83" s="7">
        <v>1</v>
      </c>
      <c r="AD83" s="7">
        <v>1</v>
      </c>
      <c r="AE83">
        <v>2</v>
      </c>
      <c r="AF83">
        <v>1</v>
      </c>
      <c r="AG83">
        <v>-1</v>
      </c>
      <c r="AH83">
        <v>1</v>
      </c>
      <c r="AI83">
        <v>1</v>
      </c>
      <c r="AJ83">
        <v>-1</v>
      </c>
      <c r="AK83">
        <v>1</v>
      </c>
      <c r="AL83">
        <v>1</v>
      </c>
      <c r="AM83">
        <v>1</v>
      </c>
      <c r="AN83">
        <v>-1</v>
      </c>
      <c r="AO83">
        <v>1</v>
      </c>
      <c r="AP83">
        <v>0</v>
      </c>
      <c r="AQ83">
        <v>-1</v>
      </c>
      <c r="AR83">
        <v>-1</v>
      </c>
      <c r="AS83">
        <v>0</v>
      </c>
      <c r="AT83">
        <v>25</v>
      </c>
      <c r="AU83">
        <v>28</v>
      </c>
      <c r="AV83">
        <v>-1</v>
      </c>
    </row>
    <row r="84" spans="1:48" ht="43.5" customHeight="1" thickBot="1" x14ac:dyDescent="0.4">
      <c r="A84" s="25">
        <v>83</v>
      </c>
      <c r="B84" s="41" t="s">
        <v>283</v>
      </c>
      <c r="C84" s="4" t="s">
        <v>90</v>
      </c>
      <c r="D84" s="4">
        <v>-2</v>
      </c>
      <c r="E84" s="4">
        <v>1</v>
      </c>
      <c r="F84" s="4">
        <v>1</v>
      </c>
      <c r="G84" s="4">
        <v>2</v>
      </c>
      <c r="H84" s="4">
        <v>1</v>
      </c>
      <c r="I84" s="4">
        <v>-1</v>
      </c>
      <c r="J84" s="4">
        <v>1</v>
      </c>
      <c r="K84" s="4">
        <v>0</v>
      </c>
      <c r="L84" s="4">
        <v>0</v>
      </c>
      <c r="M84" s="4">
        <v>-1</v>
      </c>
      <c r="N84" s="4">
        <v>2</v>
      </c>
      <c r="O84" s="4">
        <v>0</v>
      </c>
      <c r="P84" s="4">
        <v>0</v>
      </c>
      <c r="Q84" s="4">
        <v>-1</v>
      </c>
      <c r="R84" s="4">
        <v>1</v>
      </c>
      <c r="S84" s="4">
        <v>-1</v>
      </c>
      <c r="T84" s="4">
        <v>0</v>
      </c>
      <c r="U84" s="4">
        <v>1</v>
      </c>
      <c r="V84" s="5">
        <v>25</v>
      </c>
      <c r="W84" s="4" t="s">
        <v>144</v>
      </c>
      <c r="X84" s="6">
        <v>1</v>
      </c>
      <c r="Y84" s="31" cm="1">
        <f t="array" ref="Y84">IFERROR(_xlfn.XMATCH(TRUE, ISNUMBER(SEARCH($B$2:$B$201, C84))), 9999)</f>
        <v>115</v>
      </c>
      <c r="Z84" s="7"/>
      <c r="AA84" s="7" t="str">
        <v>양동재 missing 19990102</v>
      </c>
      <c r="AB84" s="7">
        <v>0</v>
      </c>
      <c r="AC84" s="7">
        <v>0</v>
      </c>
      <c r="AD84" s="7" t="str">
        <v>010-7142-1916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ht="52.5" customHeight="1" thickBot="1" x14ac:dyDescent="0.3">
      <c r="A85" s="25">
        <v>84</v>
      </c>
      <c r="B85" s="26" t="s">
        <v>230</v>
      </c>
      <c r="C85" s="8" t="s">
        <v>91</v>
      </c>
      <c r="D85" s="8">
        <v>-2</v>
      </c>
      <c r="E85" s="8">
        <v>2</v>
      </c>
      <c r="F85" s="8">
        <v>-1</v>
      </c>
      <c r="G85" s="8">
        <v>2</v>
      </c>
      <c r="H85" s="8">
        <v>1</v>
      </c>
      <c r="I85" s="8">
        <v>-1</v>
      </c>
      <c r="J85" s="8">
        <v>0</v>
      </c>
      <c r="K85" s="8">
        <v>1</v>
      </c>
      <c r="L85" s="8">
        <v>1</v>
      </c>
      <c r="M85" s="8">
        <v>-2</v>
      </c>
      <c r="N85" s="8">
        <v>2</v>
      </c>
      <c r="O85" s="8">
        <v>-2</v>
      </c>
      <c r="P85" s="8">
        <v>1</v>
      </c>
      <c r="Q85" s="8">
        <v>1</v>
      </c>
      <c r="R85" s="8">
        <v>0</v>
      </c>
      <c r="S85" s="8">
        <v>-2</v>
      </c>
      <c r="T85" s="8">
        <v>-1</v>
      </c>
      <c r="U85" s="8">
        <v>2</v>
      </c>
      <c r="V85" s="8">
        <v>27</v>
      </c>
      <c r="W85" s="8" t="s">
        <v>144</v>
      </c>
      <c r="X85" s="10">
        <v>-1</v>
      </c>
      <c r="Y85" s="31" cm="1">
        <f t="array" ref="Y85">IFERROR(_xlfn.XMATCH(TRUE, ISNUMBER(SEARCH($B$2:$B$201, C85))), 9999)</f>
        <v>103</v>
      </c>
      <c r="Z85" s="7"/>
      <c r="AA85" s="7" t="str">
        <v>최성환 평균</v>
      </c>
      <c r="AB85" s="7">
        <v>-1</v>
      </c>
      <c r="AC85" s="7">
        <v>0</v>
      </c>
      <c r="AD85" s="7">
        <v>0</v>
      </c>
      <c r="AE85">
        <v>1</v>
      </c>
      <c r="AF85">
        <v>0</v>
      </c>
      <c r="AG85">
        <v>-1</v>
      </c>
      <c r="AH85">
        <v>-1</v>
      </c>
      <c r="AI85">
        <v>0</v>
      </c>
      <c r="AJ85">
        <v>-1</v>
      </c>
      <c r="AK85">
        <v>-1</v>
      </c>
      <c r="AL85">
        <v>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1</v>
      </c>
      <c r="AT85">
        <v>22</v>
      </c>
      <c r="AU85">
        <v>27</v>
      </c>
      <c r="AV85">
        <v>1</v>
      </c>
    </row>
    <row r="86" spans="1:48" ht="65.25" customHeight="1" thickBot="1" x14ac:dyDescent="0.3">
      <c r="A86" s="25">
        <v>85</v>
      </c>
      <c r="B86" s="26" t="s">
        <v>33</v>
      </c>
      <c r="C86" s="4" t="s">
        <v>92</v>
      </c>
      <c r="D86" s="4">
        <v>-1</v>
      </c>
      <c r="E86" s="4">
        <v>1</v>
      </c>
      <c r="F86" s="4">
        <v>-1</v>
      </c>
      <c r="G86" s="4">
        <v>2</v>
      </c>
      <c r="H86" s="4">
        <v>0</v>
      </c>
      <c r="I86" s="4">
        <v>-1</v>
      </c>
      <c r="J86" s="4">
        <v>1</v>
      </c>
      <c r="K86" s="4">
        <v>-1</v>
      </c>
      <c r="L86" s="4">
        <v>-1</v>
      </c>
      <c r="M86" s="4">
        <v>-1</v>
      </c>
      <c r="N86" s="4">
        <v>1</v>
      </c>
      <c r="O86" s="4">
        <v>0</v>
      </c>
      <c r="P86" s="4">
        <v>-1</v>
      </c>
      <c r="Q86" s="4">
        <v>0</v>
      </c>
      <c r="R86" s="4">
        <v>0</v>
      </c>
      <c r="S86" s="4">
        <v>-1</v>
      </c>
      <c r="T86" s="4">
        <v>-1</v>
      </c>
      <c r="U86" s="4">
        <v>1</v>
      </c>
      <c r="V86" s="4">
        <v>24</v>
      </c>
      <c r="W86" s="4">
        <v>21</v>
      </c>
      <c r="X86" s="6">
        <v>1</v>
      </c>
      <c r="Y86" s="31" cm="1">
        <f t="array" ref="Y86">IFERROR(_xlfn.XMATCH(TRUE, ISNUMBER(SEARCH($B$2:$B$201, C86))), 9999)</f>
        <v>5</v>
      </c>
      <c r="Z86" s="7"/>
      <c r="AA86" s="7" t="str">
        <v>김송현01297428302</v>
      </c>
      <c r="AB86" s="7">
        <v>0</v>
      </c>
      <c r="AC86" s="7">
        <v>0</v>
      </c>
      <c r="AD86" s="7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 t="str">
        <v>N/A</v>
      </c>
      <c r="AU86" t="str">
        <v>N/A</v>
      </c>
      <c r="AV86">
        <v>2</v>
      </c>
    </row>
    <row r="87" spans="1:48" ht="49.5" customHeight="1" thickBot="1" x14ac:dyDescent="0.3">
      <c r="A87" s="25">
        <v>86</v>
      </c>
      <c r="B87" s="26" t="s">
        <v>231</v>
      </c>
      <c r="C87" s="8" t="s">
        <v>93</v>
      </c>
      <c r="D87" s="8">
        <v>-2</v>
      </c>
      <c r="E87" s="8">
        <v>2</v>
      </c>
      <c r="F87" s="8">
        <v>1</v>
      </c>
      <c r="G87" s="8">
        <v>2</v>
      </c>
      <c r="H87" s="8">
        <v>1</v>
      </c>
      <c r="I87" s="8">
        <v>0</v>
      </c>
      <c r="J87" s="8">
        <v>2</v>
      </c>
      <c r="K87" s="8">
        <v>1</v>
      </c>
      <c r="L87" s="8">
        <v>0</v>
      </c>
      <c r="M87" s="8">
        <v>1</v>
      </c>
      <c r="N87" s="8">
        <v>1</v>
      </c>
      <c r="O87" s="8">
        <v>-1</v>
      </c>
      <c r="P87" s="8">
        <v>0</v>
      </c>
      <c r="Q87" s="8">
        <v>-2</v>
      </c>
      <c r="R87" s="8">
        <v>1</v>
      </c>
      <c r="S87" s="8">
        <v>-1</v>
      </c>
      <c r="T87" s="8">
        <v>-1</v>
      </c>
      <c r="U87" s="8">
        <v>1</v>
      </c>
      <c r="V87" s="9">
        <v>28</v>
      </c>
      <c r="W87" s="9">
        <v>28</v>
      </c>
      <c r="X87" s="10">
        <v>0</v>
      </c>
      <c r="Y87" s="31" cm="1">
        <f t="array" ref="Y87">IFERROR(_xlfn.XMATCH(TRUE, ISNUMBER(SEARCH($B$2:$B$201, C87))), 9999)</f>
        <v>92</v>
      </c>
      <c r="Z87" s="7"/>
      <c r="AA87" s="7" t="str">
        <v>이시온 010217</v>
      </c>
      <c r="AB87" s="7">
        <v>-1</v>
      </c>
      <c r="AC87" s="7">
        <v>0</v>
      </c>
      <c r="AD87" s="7">
        <v>0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-1</v>
      </c>
      <c r="AL87">
        <v>1</v>
      </c>
      <c r="AM87">
        <v>-2</v>
      </c>
      <c r="AN87">
        <v>0</v>
      </c>
      <c r="AO87">
        <v>0</v>
      </c>
      <c r="AP87">
        <v>-1</v>
      </c>
      <c r="AQ87">
        <v>-1</v>
      </c>
      <c r="AR87">
        <v>1</v>
      </c>
      <c r="AS87">
        <v>0</v>
      </c>
      <c r="AT87">
        <v>23</v>
      </c>
      <c r="AU87" t="str">
        <v>N/A</v>
      </c>
      <c r="AV87">
        <v>1</v>
      </c>
    </row>
    <row r="88" spans="1:48" ht="27" thickBot="1" x14ac:dyDescent="0.3">
      <c r="A88" s="25">
        <v>87</v>
      </c>
      <c r="B88" s="26" t="s">
        <v>232</v>
      </c>
      <c r="C88" s="4" t="s">
        <v>94</v>
      </c>
      <c r="D88" s="4">
        <v>1</v>
      </c>
      <c r="E88" s="4">
        <v>-1</v>
      </c>
      <c r="F88" s="4">
        <v>0</v>
      </c>
      <c r="G88" s="4">
        <v>0</v>
      </c>
      <c r="H88" s="4">
        <v>-1</v>
      </c>
      <c r="I88" s="4">
        <v>-1</v>
      </c>
      <c r="J88" s="4">
        <v>-1</v>
      </c>
      <c r="K88" s="4">
        <v>-1</v>
      </c>
      <c r="L88" s="4">
        <v>-1</v>
      </c>
      <c r="M88" s="4">
        <v>-1</v>
      </c>
      <c r="N88" s="4">
        <v>0</v>
      </c>
      <c r="O88" s="4">
        <v>0</v>
      </c>
      <c r="P88" s="4">
        <v>-1</v>
      </c>
      <c r="Q88" s="4">
        <v>1</v>
      </c>
      <c r="R88" s="4">
        <v>-1</v>
      </c>
      <c r="S88" s="4">
        <v>-1</v>
      </c>
      <c r="T88" s="4">
        <v>-1</v>
      </c>
      <c r="U88" s="4">
        <v>0</v>
      </c>
      <c r="V88" s="5">
        <v>22</v>
      </c>
      <c r="W88" s="4" t="s">
        <v>144</v>
      </c>
      <c r="X88" s="6">
        <v>1</v>
      </c>
      <c r="Y88" s="31" cm="1">
        <f t="array" ref="Y88">IFERROR(_xlfn.XMATCH(TRUE, ISNUMBER(SEARCH($B$2:$B$201, C88))), 9999)</f>
        <v>33</v>
      </c>
      <c r="Z88" s="7"/>
      <c r="AA88" s="7" t="str">
        <v>박예리 2002.12.17</v>
      </c>
      <c r="AB88" s="7">
        <v>-1</v>
      </c>
      <c r="AC88" s="7">
        <v>1</v>
      </c>
      <c r="AD88" s="7">
        <v>1</v>
      </c>
      <c r="AE88">
        <v>1</v>
      </c>
      <c r="AF88">
        <v>1</v>
      </c>
      <c r="AG88">
        <v>-2</v>
      </c>
      <c r="AH88">
        <v>0</v>
      </c>
      <c r="AI88">
        <v>-1</v>
      </c>
      <c r="AJ88">
        <v>-2</v>
      </c>
      <c r="AK88">
        <v>1</v>
      </c>
      <c r="AL88">
        <v>1</v>
      </c>
      <c r="AM88">
        <v>-1</v>
      </c>
      <c r="AN88">
        <v>-1</v>
      </c>
      <c r="AO88">
        <v>-1</v>
      </c>
      <c r="AP88">
        <v>0</v>
      </c>
      <c r="AQ88">
        <v>-2</v>
      </c>
      <c r="AR88">
        <v>-2</v>
      </c>
      <c r="AS88">
        <v>-1</v>
      </c>
      <c r="AT88">
        <v>25</v>
      </c>
      <c r="AU88" t="str">
        <v>N/A</v>
      </c>
      <c r="AV88">
        <v>0</v>
      </c>
    </row>
    <row r="89" spans="1:48" ht="27" thickBot="1" x14ac:dyDescent="0.3">
      <c r="A89" s="25">
        <v>88</v>
      </c>
      <c r="B89" s="26" t="s">
        <v>233</v>
      </c>
      <c r="C89" s="8" t="s">
        <v>95</v>
      </c>
      <c r="D89" s="8">
        <v>-1</v>
      </c>
      <c r="E89" s="8">
        <v>2</v>
      </c>
      <c r="F89" s="8">
        <v>1</v>
      </c>
      <c r="G89" s="8">
        <v>2</v>
      </c>
      <c r="H89" s="8">
        <v>2</v>
      </c>
      <c r="I89" s="8">
        <v>-1</v>
      </c>
      <c r="J89" s="8">
        <v>2</v>
      </c>
      <c r="K89" s="8">
        <v>2</v>
      </c>
      <c r="L89" s="8">
        <v>1</v>
      </c>
      <c r="M89" s="8">
        <v>-1</v>
      </c>
      <c r="N89" s="8">
        <v>2</v>
      </c>
      <c r="O89" s="8">
        <v>-1</v>
      </c>
      <c r="P89" s="8">
        <v>1</v>
      </c>
      <c r="Q89" s="8">
        <v>-1</v>
      </c>
      <c r="R89" s="8">
        <v>1</v>
      </c>
      <c r="S89" s="8">
        <v>0</v>
      </c>
      <c r="T89" s="8">
        <v>0</v>
      </c>
      <c r="U89" s="8">
        <v>0</v>
      </c>
      <c r="V89" s="8" t="s">
        <v>144</v>
      </c>
      <c r="W89" s="8" t="s">
        <v>144</v>
      </c>
      <c r="X89" s="10">
        <v>1</v>
      </c>
      <c r="Y89" s="31" cm="1">
        <f t="array" ref="Y89">IFERROR(_xlfn.XMATCH(TRUE, ISNUMBER(SEARCH($B$2:$B$201, C89))), 9999)</f>
        <v>118</v>
      </c>
      <c r="Z89" s="7"/>
      <c r="AA89" s="7" t="str">
        <v>이수정 / 2002.11.15</v>
      </c>
      <c r="AB89" s="7">
        <v>-1</v>
      </c>
      <c r="AC89" s="7">
        <v>2</v>
      </c>
      <c r="AD89" s="7">
        <v>1</v>
      </c>
      <c r="AE89">
        <v>1</v>
      </c>
      <c r="AF89">
        <v>1</v>
      </c>
      <c r="AG89">
        <v>-2</v>
      </c>
      <c r="AH89">
        <v>1</v>
      </c>
      <c r="AI89">
        <v>0</v>
      </c>
      <c r="AJ89">
        <v>-1</v>
      </c>
      <c r="AK89">
        <v>1</v>
      </c>
      <c r="AL89">
        <v>1</v>
      </c>
      <c r="AM89">
        <v>0</v>
      </c>
      <c r="AN89">
        <v>-1</v>
      </c>
      <c r="AO89">
        <v>-1</v>
      </c>
      <c r="AP89">
        <v>1</v>
      </c>
      <c r="AQ89">
        <v>-1</v>
      </c>
      <c r="AR89">
        <v>-2</v>
      </c>
      <c r="AS89">
        <v>0</v>
      </c>
      <c r="AT89">
        <v>24</v>
      </c>
      <c r="AU89">
        <v>28</v>
      </c>
      <c r="AV89">
        <v>-1</v>
      </c>
    </row>
    <row r="90" spans="1:48" ht="27" thickBot="1" x14ac:dyDescent="0.3">
      <c r="A90" s="25">
        <v>89</v>
      </c>
      <c r="B90" s="26" t="s">
        <v>234</v>
      </c>
      <c r="C90" s="4" t="s">
        <v>96</v>
      </c>
      <c r="D90" s="4">
        <v>-2</v>
      </c>
      <c r="E90" s="4">
        <v>2</v>
      </c>
      <c r="F90" s="4">
        <v>2</v>
      </c>
      <c r="G90" s="4">
        <v>2</v>
      </c>
      <c r="H90" s="4">
        <v>2</v>
      </c>
      <c r="I90" s="4">
        <v>-2</v>
      </c>
      <c r="J90" s="4">
        <v>2</v>
      </c>
      <c r="K90" s="4">
        <v>2</v>
      </c>
      <c r="L90" s="4">
        <v>-2</v>
      </c>
      <c r="M90" s="4">
        <v>0</v>
      </c>
      <c r="N90" s="4">
        <v>2</v>
      </c>
      <c r="O90" s="4">
        <v>-2</v>
      </c>
      <c r="P90" s="4">
        <v>-2</v>
      </c>
      <c r="Q90" s="4">
        <v>2</v>
      </c>
      <c r="R90" s="4">
        <v>2</v>
      </c>
      <c r="S90" s="4">
        <v>-2</v>
      </c>
      <c r="T90" s="4">
        <v>-1</v>
      </c>
      <c r="U90" s="4">
        <v>2</v>
      </c>
      <c r="V90" s="5">
        <v>26</v>
      </c>
      <c r="W90" s="5">
        <v>18</v>
      </c>
      <c r="X90" s="6">
        <v>1</v>
      </c>
      <c r="Y90" s="31" cm="1">
        <f t="array" ref="Y90">IFERROR(_xlfn.XMATCH(TRUE, ISNUMBER(SEARCH($B$2:$B$201, C90))), 9999)</f>
        <v>111</v>
      </c>
      <c r="Z90" s="7"/>
      <c r="AA90" s="7" t="str">
        <v>정인호 20030708</v>
      </c>
      <c r="AB90" s="7">
        <v>1</v>
      </c>
      <c r="AC90" s="7">
        <v>1</v>
      </c>
      <c r="AD90" s="7">
        <v>1</v>
      </c>
      <c r="AE90">
        <v>1</v>
      </c>
      <c r="AF90">
        <v>-1</v>
      </c>
      <c r="AG90">
        <v>-1</v>
      </c>
      <c r="AH90">
        <v>0</v>
      </c>
      <c r="AI90">
        <v>1</v>
      </c>
      <c r="AJ90">
        <v>-1</v>
      </c>
      <c r="AK90">
        <v>-2</v>
      </c>
      <c r="AL90">
        <v>1</v>
      </c>
      <c r="AM90">
        <v>1</v>
      </c>
      <c r="AN90">
        <v>-1</v>
      </c>
      <c r="AO90">
        <v>1</v>
      </c>
      <c r="AP90">
        <v>0</v>
      </c>
      <c r="AQ90">
        <v>1</v>
      </c>
      <c r="AR90">
        <v>-1</v>
      </c>
      <c r="AS90">
        <v>0</v>
      </c>
      <c r="AT90">
        <v>24</v>
      </c>
      <c r="AU90">
        <v>24</v>
      </c>
      <c r="AV90">
        <v>-1</v>
      </c>
    </row>
    <row r="91" spans="1:48" ht="26.25" thickBot="1" x14ac:dyDescent="0.3">
      <c r="A91" s="25">
        <v>90</v>
      </c>
      <c r="B91" s="26" t="s">
        <v>235</v>
      </c>
      <c r="C91" s="8" t="s">
        <v>97</v>
      </c>
      <c r="D91" s="8">
        <v>1</v>
      </c>
      <c r="E91" s="8">
        <v>0</v>
      </c>
      <c r="F91" s="8">
        <v>0</v>
      </c>
      <c r="G91" s="8">
        <v>1</v>
      </c>
      <c r="H91" s="8">
        <v>1</v>
      </c>
      <c r="I91" s="8">
        <v>0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-1</v>
      </c>
      <c r="Q91" s="8">
        <v>1</v>
      </c>
      <c r="R91" s="8">
        <v>0</v>
      </c>
      <c r="S91" s="8">
        <v>1</v>
      </c>
      <c r="T91" s="8">
        <v>0</v>
      </c>
      <c r="U91" s="8">
        <v>0</v>
      </c>
      <c r="V91" s="9">
        <v>27</v>
      </c>
      <c r="W91" s="8" t="s">
        <v>144</v>
      </c>
      <c r="X91" s="10">
        <v>0</v>
      </c>
      <c r="Y91" s="31" cm="1">
        <f t="array" ref="Y91">IFERROR(_xlfn.XMATCH(TRUE, ISNUMBER(SEARCH($B$2:$B$201, C91))), 9999)</f>
        <v>67</v>
      </c>
      <c r="Z91" s="7"/>
      <c r="AA91" s="7" t="str">
        <v>정현영 920612</v>
      </c>
      <c r="AB91" s="7">
        <v>0</v>
      </c>
      <c r="AC91" s="7">
        <v>1</v>
      </c>
      <c r="AD91" s="7">
        <v>-2</v>
      </c>
      <c r="AE91">
        <v>2</v>
      </c>
      <c r="AF91">
        <v>0</v>
      </c>
      <c r="AG91">
        <v>-2</v>
      </c>
      <c r="AH91">
        <v>-2</v>
      </c>
      <c r="AI91">
        <v>-2</v>
      </c>
      <c r="AJ91">
        <v>-2</v>
      </c>
      <c r="AK91">
        <v>-1</v>
      </c>
      <c r="AL91">
        <v>-1</v>
      </c>
      <c r="AM91">
        <v>-2</v>
      </c>
      <c r="AN91">
        <v>-1</v>
      </c>
      <c r="AO91">
        <v>-1</v>
      </c>
      <c r="AP91">
        <v>-1</v>
      </c>
      <c r="AQ91">
        <v>-2</v>
      </c>
      <c r="AR91">
        <v>-2</v>
      </c>
      <c r="AS91">
        <v>-2</v>
      </c>
      <c r="AT91">
        <v>26</v>
      </c>
      <c r="AU91">
        <v>28</v>
      </c>
      <c r="AV91">
        <v>1</v>
      </c>
    </row>
    <row r="92" spans="1:48" ht="28.5" thickBot="1" x14ac:dyDescent="0.4">
      <c r="A92" s="25">
        <v>91</v>
      </c>
      <c r="B92" s="41" t="s">
        <v>286</v>
      </c>
      <c r="C92" s="4" t="s">
        <v>98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</v>
      </c>
      <c r="K92" s="4">
        <v>1</v>
      </c>
      <c r="L92" s="4">
        <v>1</v>
      </c>
      <c r="M92" s="4">
        <v>-1</v>
      </c>
      <c r="N92" s="4">
        <v>-1</v>
      </c>
      <c r="O92" s="4">
        <v>-1</v>
      </c>
      <c r="P92" s="4">
        <v>-1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23</v>
      </c>
      <c r="W92" s="4" t="s">
        <v>144</v>
      </c>
      <c r="X92" s="6">
        <v>2</v>
      </c>
      <c r="Y92" s="31" cm="1">
        <f t="array" ref="Y92">IFERROR(_xlfn.XMATCH(TRUE, ISNUMBER(SEARCH($B$2:$B$201, C92))), 9999)</f>
        <v>25</v>
      </c>
      <c r="Z92" s="7"/>
      <c r="AA92" s="7" t="str">
        <v>박태하 평균</v>
      </c>
      <c r="AB92" s="7">
        <v>-1</v>
      </c>
      <c r="AC92" s="7">
        <v>2</v>
      </c>
      <c r="AD92" s="7">
        <v>1</v>
      </c>
      <c r="AE92">
        <v>2</v>
      </c>
      <c r="AF92">
        <v>2</v>
      </c>
      <c r="AG92">
        <v>1</v>
      </c>
      <c r="AH92">
        <v>1</v>
      </c>
      <c r="AI92">
        <v>1</v>
      </c>
      <c r="AJ92">
        <v>1</v>
      </c>
      <c r="AK92">
        <v>-1</v>
      </c>
      <c r="AL92">
        <v>1</v>
      </c>
      <c r="AM92">
        <v>2</v>
      </c>
      <c r="AN92">
        <v>1</v>
      </c>
      <c r="AO92">
        <v>1</v>
      </c>
      <c r="AP92">
        <v>0</v>
      </c>
      <c r="AQ92">
        <v>1</v>
      </c>
      <c r="AR92">
        <v>1</v>
      </c>
      <c r="AS92">
        <v>0</v>
      </c>
      <c r="AT92">
        <v>23</v>
      </c>
      <c r="AU92">
        <v>27</v>
      </c>
      <c r="AV92">
        <v>1</v>
      </c>
    </row>
    <row r="93" spans="1:48" ht="27" thickBot="1" x14ac:dyDescent="0.3">
      <c r="A93" s="25">
        <v>92</v>
      </c>
      <c r="B93" s="26" t="s">
        <v>236</v>
      </c>
      <c r="C93" s="8" t="s">
        <v>99</v>
      </c>
      <c r="D93" s="8">
        <v>-1</v>
      </c>
      <c r="E93" s="8">
        <v>1</v>
      </c>
      <c r="F93" s="8">
        <v>1</v>
      </c>
      <c r="G93" s="8">
        <v>1</v>
      </c>
      <c r="H93" s="8">
        <v>1</v>
      </c>
      <c r="I93" s="8">
        <v>-1</v>
      </c>
      <c r="J93" s="8">
        <v>1</v>
      </c>
      <c r="K93" s="8">
        <v>-1</v>
      </c>
      <c r="L93" s="8">
        <v>-1</v>
      </c>
      <c r="M93" s="8">
        <v>-1</v>
      </c>
      <c r="N93" s="8">
        <v>1</v>
      </c>
      <c r="O93" s="8">
        <v>-1</v>
      </c>
      <c r="P93" s="8">
        <v>-1</v>
      </c>
      <c r="Q93" s="8">
        <v>-1</v>
      </c>
      <c r="R93" s="8">
        <v>-1</v>
      </c>
      <c r="S93" s="8">
        <v>-1</v>
      </c>
      <c r="T93" s="8">
        <v>-1</v>
      </c>
      <c r="U93" s="8">
        <v>-1</v>
      </c>
      <c r="V93" s="9">
        <v>26</v>
      </c>
      <c r="W93" s="9">
        <v>23</v>
      </c>
      <c r="X93" s="10">
        <v>-1</v>
      </c>
      <c r="Y93" s="31" cm="1">
        <f t="array" ref="Y93">IFERROR(_xlfn.XMATCH(TRUE, ISNUMBER(SEARCH($B$2:$B$201, C93))), 9999)</f>
        <v>79</v>
      </c>
      <c r="Z93" s="7"/>
      <c r="AA93" s="7" t="str">
        <v>하헌균 030610</v>
      </c>
      <c r="AB93" s="7">
        <v>-2</v>
      </c>
      <c r="AC93" s="7">
        <v>2</v>
      </c>
      <c r="AD93" s="7">
        <v>1</v>
      </c>
      <c r="AE93">
        <v>2</v>
      </c>
      <c r="AF93">
        <v>1</v>
      </c>
      <c r="AG93">
        <v>0</v>
      </c>
      <c r="AH93">
        <v>2</v>
      </c>
      <c r="AI93">
        <v>1</v>
      </c>
      <c r="AJ93">
        <v>0</v>
      </c>
      <c r="AK93">
        <v>1</v>
      </c>
      <c r="AL93">
        <v>1</v>
      </c>
      <c r="AM93">
        <v>-1</v>
      </c>
      <c r="AN93">
        <v>0</v>
      </c>
      <c r="AO93">
        <v>-2</v>
      </c>
      <c r="AP93">
        <v>1</v>
      </c>
      <c r="AQ93">
        <v>-1</v>
      </c>
      <c r="AR93">
        <v>-1</v>
      </c>
      <c r="AS93">
        <v>1</v>
      </c>
      <c r="AT93">
        <v>28</v>
      </c>
      <c r="AU93">
        <v>28</v>
      </c>
      <c r="AV93">
        <v>0</v>
      </c>
    </row>
    <row r="94" spans="1:48" ht="39" thickBot="1" x14ac:dyDescent="0.3">
      <c r="A94" s="25">
        <v>93</v>
      </c>
      <c r="B94" s="26" t="s">
        <v>237</v>
      </c>
      <c r="C94" s="4" t="s">
        <v>100</v>
      </c>
      <c r="D94" s="4">
        <v>-1</v>
      </c>
      <c r="E94" s="4">
        <v>2</v>
      </c>
      <c r="F94" s="4">
        <v>0</v>
      </c>
      <c r="G94" s="4">
        <v>2</v>
      </c>
      <c r="H94" s="4">
        <v>1</v>
      </c>
      <c r="I94" s="4">
        <v>-1</v>
      </c>
      <c r="J94" s="4">
        <v>-1</v>
      </c>
      <c r="K94" s="4">
        <v>0</v>
      </c>
      <c r="L94" s="4">
        <v>0</v>
      </c>
      <c r="M94" s="4">
        <v>-1</v>
      </c>
      <c r="N94" s="4">
        <v>0</v>
      </c>
      <c r="O94" s="4">
        <v>-1</v>
      </c>
      <c r="P94" s="4">
        <v>0</v>
      </c>
      <c r="Q94" s="4">
        <v>0</v>
      </c>
      <c r="R94" s="4">
        <v>1</v>
      </c>
      <c r="S94" s="4">
        <v>0</v>
      </c>
      <c r="T94" s="4">
        <v>0</v>
      </c>
      <c r="U94" s="4">
        <v>0</v>
      </c>
      <c r="V94" s="5">
        <v>25</v>
      </c>
      <c r="W94" s="4" t="s">
        <v>144</v>
      </c>
      <c r="X94" s="6">
        <v>1</v>
      </c>
      <c r="Y94" s="31" cm="1">
        <f t="array" ref="Y94">IFERROR(_xlfn.XMATCH(TRUE, ISNUMBER(SEARCH($B$2:$B$201, C94))), 9999)</f>
        <v>99</v>
      </c>
      <c r="Z94" s="7"/>
      <c r="AA94" s="7" t="str">
        <v>이혜빈 040804</v>
      </c>
      <c r="AB94" s="7">
        <v>-1</v>
      </c>
      <c r="AC94" s="7">
        <v>1</v>
      </c>
      <c r="AD94" s="7">
        <v>1</v>
      </c>
      <c r="AE94">
        <v>1</v>
      </c>
      <c r="AF94">
        <v>1</v>
      </c>
      <c r="AG94">
        <v>-1</v>
      </c>
      <c r="AH94">
        <v>1</v>
      </c>
      <c r="AI94">
        <v>-1</v>
      </c>
      <c r="AJ94">
        <v>-1</v>
      </c>
      <c r="AK94">
        <v>-2</v>
      </c>
      <c r="AL94">
        <v>1</v>
      </c>
      <c r="AM94">
        <v>-2</v>
      </c>
      <c r="AN94">
        <v>0</v>
      </c>
      <c r="AO94">
        <v>-1</v>
      </c>
      <c r="AP94">
        <v>1</v>
      </c>
      <c r="AQ94">
        <v>-2</v>
      </c>
      <c r="AR94">
        <v>-1</v>
      </c>
      <c r="AS94">
        <v>1</v>
      </c>
      <c r="AT94">
        <v>24</v>
      </c>
      <c r="AU94">
        <v>40</v>
      </c>
      <c r="AV94">
        <v>-1</v>
      </c>
    </row>
    <row r="95" spans="1:48" ht="27" thickBot="1" x14ac:dyDescent="0.3">
      <c r="A95" s="25">
        <v>94</v>
      </c>
      <c r="B95" s="26" t="s">
        <v>238</v>
      </c>
      <c r="C95" s="8" t="s">
        <v>101</v>
      </c>
      <c r="D95" s="8">
        <v>-1</v>
      </c>
      <c r="E95" s="8">
        <v>1</v>
      </c>
      <c r="F95" s="8">
        <v>0</v>
      </c>
      <c r="G95" s="8">
        <v>1</v>
      </c>
      <c r="H95" s="8">
        <v>1</v>
      </c>
      <c r="I95" s="8">
        <v>-1</v>
      </c>
      <c r="J95" s="8">
        <v>-1</v>
      </c>
      <c r="K95" s="8">
        <v>-1</v>
      </c>
      <c r="L95" s="8">
        <v>-1</v>
      </c>
      <c r="M95" s="8">
        <v>-1</v>
      </c>
      <c r="N95" s="8">
        <v>1</v>
      </c>
      <c r="O95" s="8">
        <v>-1</v>
      </c>
      <c r="P95" s="8">
        <v>-1</v>
      </c>
      <c r="Q95" s="8">
        <v>1</v>
      </c>
      <c r="R95" s="8">
        <v>-1</v>
      </c>
      <c r="S95" s="8">
        <v>-1</v>
      </c>
      <c r="T95" s="8">
        <v>-1</v>
      </c>
      <c r="U95" s="8">
        <v>1</v>
      </c>
      <c r="V95" s="9">
        <v>22</v>
      </c>
      <c r="W95" s="8" t="s">
        <v>144</v>
      </c>
      <c r="X95" s="10">
        <v>1</v>
      </c>
      <c r="Y95" s="31" cm="1">
        <f t="array" ref="Y95">IFERROR(_xlfn.XMATCH(TRUE, ISNUMBER(SEARCH($B$2:$B$201, C95))), 9999)</f>
        <v>129</v>
      </c>
      <c r="Z95" s="7"/>
      <c r="AA95" s="7" t="str">
        <v>구수현 2005/02/28</v>
      </c>
      <c r="AB95" s="7">
        <v>-1</v>
      </c>
      <c r="AC95" s="7">
        <v>2</v>
      </c>
      <c r="AD95" s="7">
        <v>2</v>
      </c>
      <c r="AE95">
        <v>2</v>
      </c>
      <c r="AF95">
        <v>2</v>
      </c>
      <c r="AG95">
        <v>0</v>
      </c>
      <c r="AH95">
        <v>0</v>
      </c>
      <c r="AI95">
        <v>1</v>
      </c>
      <c r="AJ95">
        <v>2</v>
      </c>
      <c r="AK95">
        <v>-1</v>
      </c>
      <c r="AL95">
        <v>2</v>
      </c>
      <c r="AM95">
        <v>-1</v>
      </c>
      <c r="AN95">
        <v>1</v>
      </c>
      <c r="AO95">
        <v>1</v>
      </c>
      <c r="AP95">
        <v>1</v>
      </c>
      <c r="AQ95">
        <v>-1</v>
      </c>
      <c r="AR95">
        <v>1</v>
      </c>
      <c r="AS95">
        <v>1</v>
      </c>
      <c r="AT95">
        <v>27</v>
      </c>
      <c r="AU95" t="str">
        <v>N/A</v>
      </c>
      <c r="AV95">
        <v>0</v>
      </c>
    </row>
    <row r="96" spans="1:48" ht="39.75" thickBot="1" x14ac:dyDescent="0.3">
      <c r="A96" s="25">
        <v>95</v>
      </c>
      <c r="B96" s="26" t="s">
        <v>239</v>
      </c>
      <c r="C96" s="4" t="s">
        <v>102</v>
      </c>
      <c r="D96" s="4">
        <v>-2</v>
      </c>
      <c r="E96" s="4">
        <v>2</v>
      </c>
      <c r="F96" s="4">
        <v>2</v>
      </c>
      <c r="G96" s="4">
        <v>2</v>
      </c>
      <c r="H96" s="4">
        <v>1</v>
      </c>
      <c r="I96" s="4">
        <v>-2</v>
      </c>
      <c r="J96" s="4">
        <v>1</v>
      </c>
      <c r="K96" s="4">
        <v>1</v>
      </c>
      <c r="L96" s="4">
        <v>1</v>
      </c>
      <c r="M96" s="4">
        <v>0</v>
      </c>
      <c r="N96" s="4">
        <v>1</v>
      </c>
      <c r="O96" s="4">
        <v>-1</v>
      </c>
      <c r="P96" s="4">
        <v>0</v>
      </c>
      <c r="Q96" s="4">
        <v>-1</v>
      </c>
      <c r="R96" s="4">
        <v>0</v>
      </c>
      <c r="S96" s="4">
        <v>-1</v>
      </c>
      <c r="T96" s="4">
        <v>1</v>
      </c>
      <c r="U96" s="4">
        <v>1</v>
      </c>
      <c r="V96" s="5">
        <v>24</v>
      </c>
      <c r="W96" s="5">
        <v>24</v>
      </c>
      <c r="X96" s="6">
        <v>0</v>
      </c>
      <c r="Y96" s="31" cm="1">
        <f t="array" ref="Y96">IFERROR(_xlfn.XMATCH(TRUE, ISNUMBER(SEARCH($B$2:$B$201, C96))), 9999)</f>
        <v>126</v>
      </c>
      <c r="Z96" s="7"/>
      <c r="AA96" s="7" t="str">
        <v>허가영 20000919</v>
      </c>
      <c r="AB96" s="7">
        <v>-1</v>
      </c>
      <c r="AC96" s="7">
        <v>1</v>
      </c>
      <c r="AD96" s="7">
        <v>1</v>
      </c>
      <c r="AE96">
        <v>1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-1</v>
      </c>
      <c r="AL96">
        <v>1</v>
      </c>
      <c r="AM96">
        <v>0</v>
      </c>
      <c r="AN96">
        <v>0</v>
      </c>
      <c r="AO96">
        <v>1</v>
      </c>
      <c r="AP96">
        <v>1</v>
      </c>
      <c r="AQ96">
        <v>-1</v>
      </c>
      <c r="AR96">
        <v>-1</v>
      </c>
      <c r="AS96">
        <v>1</v>
      </c>
      <c r="AT96">
        <v>21</v>
      </c>
      <c r="AU96" t="str">
        <v>N/A</v>
      </c>
      <c r="AV96">
        <v>2</v>
      </c>
    </row>
    <row r="97" spans="1:48" ht="27" thickBot="1" x14ac:dyDescent="0.3">
      <c r="A97" s="28">
        <v>96</v>
      </c>
      <c r="B97" s="29" t="s">
        <v>240</v>
      </c>
      <c r="C97" s="22" t="s">
        <v>278</v>
      </c>
      <c r="D97" s="8">
        <v>1</v>
      </c>
      <c r="E97" s="8">
        <v>1</v>
      </c>
      <c r="F97" s="8">
        <v>-1</v>
      </c>
      <c r="G97" s="8">
        <v>2</v>
      </c>
      <c r="H97" s="8">
        <v>2</v>
      </c>
      <c r="I97" s="8">
        <v>0</v>
      </c>
      <c r="J97" s="8">
        <v>-1</v>
      </c>
      <c r="K97" s="8">
        <v>1</v>
      </c>
      <c r="L97" s="8">
        <v>-1</v>
      </c>
      <c r="M97" s="8">
        <v>1</v>
      </c>
      <c r="N97" s="8">
        <v>-1</v>
      </c>
      <c r="O97" s="8">
        <v>2</v>
      </c>
      <c r="P97" s="8">
        <v>-2</v>
      </c>
      <c r="Q97" s="8">
        <v>1</v>
      </c>
      <c r="R97" s="8">
        <v>-1</v>
      </c>
      <c r="S97" s="8">
        <v>0</v>
      </c>
      <c r="T97" s="8">
        <v>0</v>
      </c>
      <c r="U97" s="8">
        <v>0</v>
      </c>
      <c r="V97" s="9">
        <v>27</v>
      </c>
      <c r="W97" s="8" t="s">
        <v>144</v>
      </c>
      <c r="X97" s="10">
        <v>2</v>
      </c>
      <c r="Y97" s="31" cm="1">
        <f t="array" ref="Y97">IFERROR(_xlfn.XMATCH(TRUE, ISNUMBER(SEARCH($B$2:$B$201, C97))), 9999)</f>
        <v>45</v>
      </c>
      <c r="Z97" s="7"/>
      <c r="AA97" s="7" t="str">
        <v>박가람/2005.04.11</v>
      </c>
      <c r="AB97" s="7">
        <v>-1</v>
      </c>
      <c r="AC97" s="7">
        <v>1</v>
      </c>
      <c r="AD97" s="7">
        <v>1</v>
      </c>
      <c r="AE97">
        <v>2</v>
      </c>
      <c r="AF97">
        <v>2</v>
      </c>
      <c r="AG97">
        <v>-1</v>
      </c>
      <c r="AH97">
        <v>2</v>
      </c>
      <c r="AI97">
        <v>2</v>
      </c>
      <c r="AJ97">
        <v>0</v>
      </c>
      <c r="AK97">
        <v>0</v>
      </c>
      <c r="AL97">
        <v>2</v>
      </c>
      <c r="AM97">
        <v>-1</v>
      </c>
      <c r="AN97">
        <v>0</v>
      </c>
      <c r="AO97">
        <v>2</v>
      </c>
      <c r="AP97">
        <v>0</v>
      </c>
      <c r="AQ97">
        <v>-1</v>
      </c>
      <c r="AR97">
        <v>0</v>
      </c>
      <c r="AS97">
        <v>2</v>
      </c>
      <c r="AT97" t="str">
        <v>N/A</v>
      </c>
      <c r="AU97" t="str">
        <v>N/A</v>
      </c>
      <c r="AV97">
        <v>0</v>
      </c>
    </row>
    <row r="98" spans="1:48" ht="27" thickBot="1" x14ac:dyDescent="0.3">
      <c r="A98" s="25">
        <v>97</v>
      </c>
      <c r="B98" s="26" t="s">
        <v>241</v>
      </c>
      <c r="C98" s="39" t="s">
        <v>282</v>
      </c>
      <c r="D98" s="38">
        <v>-2</v>
      </c>
      <c r="E98" s="38">
        <v>2</v>
      </c>
      <c r="F98" s="38">
        <v>0</v>
      </c>
      <c r="G98" s="38">
        <v>2</v>
      </c>
      <c r="H98" s="38">
        <v>-1</v>
      </c>
      <c r="I98" s="38">
        <v>-2</v>
      </c>
      <c r="J98" s="38">
        <v>-1</v>
      </c>
      <c r="K98" s="38">
        <v>-2</v>
      </c>
      <c r="L98" s="38">
        <v>-2</v>
      </c>
      <c r="M98" s="38">
        <v>2</v>
      </c>
      <c r="N98" s="38">
        <v>2</v>
      </c>
      <c r="O98" s="38">
        <v>-2</v>
      </c>
      <c r="P98" s="38">
        <v>-2</v>
      </c>
      <c r="Q98" s="38">
        <v>-1</v>
      </c>
      <c r="R98" s="38">
        <v>-2</v>
      </c>
      <c r="S98" s="38">
        <v>-2</v>
      </c>
      <c r="T98" s="38">
        <v>-2</v>
      </c>
      <c r="U98" s="38">
        <v>-1</v>
      </c>
      <c r="V98" s="38">
        <v>27</v>
      </c>
      <c r="W98" s="38">
        <v>30</v>
      </c>
      <c r="X98" s="38">
        <v>1</v>
      </c>
      <c r="Y98" s="31" cm="1">
        <f t="array" ref="Y98">IFERROR(_xlfn.XMATCH(TRUE, ISNUMBER(SEARCH($B$2:$B$201, C98))), 9999)</f>
        <v>76</v>
      </c>
      <c r="Z98" s="7"/>
      <c r="AA98" s="7" t="str">
        <v>임세원. 1997.11.29</v>
      </c>
      <c r="AB98" s="7">
        <v>-2</v>
      </c>
      <c r="AC98" s="7">
        <v>2</v>
      </c>
      <c r="AD98" s="7">
        <v>2</v>
      </c>
      <c r="AE98">
        <v>1</v>
      </c>
      <c r="AF98">
        <v>2</v>
      </c>
      <c r="AG98">
        <v>-2</v>
      </c>
      <c r="AH98">
        <v>2</v>
      </c>
      <c r="AI98">
        <v>2</v>
      </c>
      <c r="AJ98">
        <v>1</v>
      </c>
      <c r="AK98">
        <v>2</v>
      </c>
      <c r="AL98">
        <v>2</v>
      </c>
      <c r="AM98">
        <v>2</v>
      </c>
      <c r="AN98">
        <v>2</v>
      </c>
      <c r="AO98">
        <v>-1</v>
      </c>
      <c r="AP98">
        <v>0</v>
      </c>
      <c r="AQ98">
        <v>-2</v>
      </c>
      <c r="AR98">
        <v>2</v>
      </c>
      <c r="AS98">
        <v>2</v>
      </c>
      <c r="AT98">
        <v>25</v>
      </c>
      <c r="AU98">
        <v>26</v>
      </c>
      <c r="AV98">
        <v>-1</v>
      </c>
    </row>
    <row r="99" spans="1:48" ht="39.75" thickBot="1" x14ac:dyDescent="0.3">
      <c r="A99" s="25">
        <v>98</v>
      </c>
      <c r="B99" s="26" t="s">
        <v>242</v>
      </c>
      <c r="C99" s="34" t="s">
        <v>279</v>
      </c>
      <c r="D99" s="8">
        <v>-2</v>
      </c>
      <c r="E99" s="8">
        <v>-2</v>
      </c>
      <c r="F99" s="8">
        <v>-2</v>
      </c>
      <c r="G99" s="8">
        <v>-2</v>
      </c>
      <c r="H99" s="8">
        <v>-2</v>
      </c>
      <c r="I99" s="8">
        <v>-2</v>
      </c>
      <c r="J99" s="8">
        <v>-2</v>
      </c>
      <c r="K99" s="8">
        <v>-2</v>
      </c>
      <c r="L99" s="8">
        <v>-2</v>
      </c>
      <c r="M99" s="8">
        <v>-2</v>
      </c>
      <c r="N99" s="8">
        <v>-2</v>
      </c>
      <c r="O99" s="8">
        <v>-2</v>
      </c>
      <c r="P99" s="8">
        <v>-2</v>
      </c>
      <c r="Q99" s="8">
        <v>-2</v>
      </c>
      <c r="R99" s="8">
        <v>-2</v>
      </c>
      <c r="S99" s="8">
        <v>-2</v>
      </c>
      <c r="T99" s="8">
        <v>-2</v>
      </c>
      <c r="U99" s="8">
        <v>-2</v>
      </c>
      <c r="V99" s="9">
        <v>1</v>
      </c>
      <c r="W99" s="9">
        <v>1</v>
      </c>
      <c r="X99" s="10">
        <v>2</v>
      </c>
      <c r="Y99" s="31" cm="1">
        <f t="array" ref="Y99">IFERROR(_xlfn.XMATCH(TRUE, ISNUMBER(SEARCH($B$2:$B$201, C99))), 9999)</f>
        <v>129</v>
      </c>
      <c r="Z99" s="7"/>
      <c r="AA99" s="7" t="str">
        <v>박현수 20031115</v>
      </c>
      <c r="AB99" s="7">
        <v>-1</v>
      </c>
      <c r="AC99" s="7">
        <v>1</v>
      </c>
      <c r="AD99" s="7">
        <v>1</v>
      </c>
      <c r="AE99">
        <v>2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-1</v>
      </c>
      <c r="AL99">
        <v>2</v>
      </c>
      <c r="AM99">
        <v>-1</v>
      </c>
      <c r="AN99">
        <v>1</v>
      </c>
      <c r="AO99">
        <v>0</v>
      </c>
      <c r="AP99">
        <v>-1</v>
      </c>
      <c r="AQ99">
        <v>0</v>
      </c>
      <c r="AR99">
        <v>-1</v>
      </c>
      <c r="AS99">
        <v>1</v>
      </c>
      <c r="AT99">
        <v>24</v>
      </c>
      <c r="AU99" t="str">
        <v>N/A</v>
      </c>
      <c r="AV99">
        <v>1</v>
      </c>
    </row>
    <row r="100" spans="1:48" ht="27" thickBot="1" x14ac:dyDescent="0.3">
      <c r="A100" s="25">
        <v>99</v>
      </c>
      <c r="B100" s="26" t="s">
        <v>243</v>
      </c>
      <c r="C100" s="4" t="s">
        <v>103</v>
      </c>
      <c r="D100" s="4">
        <v>-1</v>
      </c>
      <c r="E100" s="4">
        <v>1</v>
      </c>
      <c r="F100" s="4">
        <v>0</v>
      </c>
      <c r="G100" s="4">
        <v>1</v>
      </c>
      <c r="H100" s="4">
        <v>0</v>
      </c>
      <c r="I100" s="4">
        <v>-1</v>
      </c>
      <c r="J100" s="4">
        <v>0</v>
      </c>
      <c r="K100" s="4">
        <v>-1</v>
      </c>
      <c r="L100" s="4">
        <v>-1</v>
      </c>
      <c r="M100" s="4">
        <v>-1</v>
      </c>
      <c r="N100" s="4">
        <v>1</v>
      </c>
      <c r="O100" s="4">
        <v>-1</v>
      </c>
      <c r="P100" s="4">
        <v>-1</v>
      </c>
      <c r="Q100" s="4">
        <v>0</v>
      </c>
      <c r="R100" s="4">
        <v>-1</v>
      </c>
      <c r="S100" s="4">
        <v>-1</v>
      </c>
      <c r="T100" s="4">
        <v>-1</v>
      </c>
      <c r="U100" s="4">
        <v>0</v>
      </c>
      <c r="V100" s="4">
        <v>23</v>
      </c>
      <c r="W100" s="4" t="s">
        <v>144</v>
      </c>
      <c r="X100" s="6">
        <v>0</v>
      </c>
      <c r="Y100" s="31" cm="1">
        <f t="array" ref="Y100">IFERROR(_xlfn.XMATCH(TRUE, ISNUMBER(SEARCH($B$2:$B$201, C100))), 9999)</f>
        <v>114</v>
      </c>
      <c r="Z100" s="7"/>
      <c r="AA100" s="7" t="str">
        <v>선종원/1998.02.28</v>
      </c>
      <c r="AB100" s="7">
        <v>-1</v>
      </c>
      <c r="AC100" s="7">
        <v>2</v>
      </c>
      <c r="AD100" s="7">
        <v>0</v>
      </c>
      <c r="AE100">
        <v>2</v>
      </c>
      <c r="AF100">
        <v>1</v>
      </c>
      <c r="AG100">
        <v>-1</v>
      </c>
      <c r="AH100">
        <v>-1</v>
      </c>
      <c r="AI100">
        <v>0</v>
      </c>
      <c r="AJ100">
        <v>0</v>
      </c>
      <c r="AK100">
        <v>-1</v>
      </c>
      <c r="AL100">
        <v>0</v>
      </c>
      <c r="AM100">
        <v>-1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25</v>
      </c>
      <c r="AU100" t="str">
        <v>N/A</v>
      </c>
      <c r="AV100">
        <v>1</v>
      </c>
    </row>
    <row r="101" spans="1:48" ht="27" thickBot="1" x14ac:dyDescent="0.3">
      <c r="A101" s="25">
        <v>100</v>
      </c>
      <c r="B101" s="26" t="s">
        <v>244</v>
      </c>
      <c r="C101" s="8" t="s">
        <v>104</v>
      </c>
      <c r="D101" s="8">
        <v>-1</v>
      </c>
      <c r="E101" s="8">
        <v>1</v>
      </c>
      <c r="F101" s="8">
        <v>0</v>
      </c>
      <c r="G101" s="8">
        <v>2</v>
      </c>
      <c r="H101" s="8">
        <v>2</v>
      </c>
      <c r="I101" s="8">
        <v>-1</v>
      </c>
      <c r="J101" s="8">
        <v>-2</v>
      </c>
      <c r="K101" s="8">
        <v>1</v>
      </c>
      <c r="L101" s="8">
        <v>-1</v>
      </c>
      <c r="M101" s="8">
        <v>-1</v>
      </c>
      <c r="N101" s="8">
        <v>1</v>
      </c>
      <c r="O101" s="8">
        <v>-1</v>
      </c>
      <c r="P101" s="8">
        <v>-1</v>
      </c>
      <c r="Q101" s="8">
        <v>1</v>
      </c>
      <c r="R101" s="8">
        <v>-1</v>
      </c>
      <c r="S101" s="8">
        <v>-1</v>
      </c>
      <c r="T101" s="8">
        <v>-1</v>
      </c>
      <c r="U101" s="8">
        <v>1</v>
      </c>
      <c r="V101" s="8" t="s">
        <v>144</v>
      </c>
      <c r="W101" s="8" t="s">
        <v>144</v>
      </c>
      <c r="X101" s="10">
        <v>-1</v>
      </c>
      <c r="Y101" s="31" cm="1">
        <f t="array" ref="Y101">IFERROR(_xlfn.XMATCH(TRUE, ISNUMBER(SEARCH($B$2:$B$201, C101))), 9999)</f>
        <v>125</v>
      </c>
      <c r="Z101" s="7"/>
      <c r="AA101" s="7" t="str">
        <v>채우준 20020916</v>
      </c>
      <c r="AB101" s="7">
        <v>-2</v>
      </c>
      <c r="AC101" s="7">
        <v>1</v>
      </c>
      <c r="AD101" s="7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2</v>
      </c>
      <c r="AP101">
        <v>0</v>
      </c>
      <c r="AQ101">
        <v>0</v>
      </c>
      <c r="AR101">
        <v>0</v>
      </c>
      <c r="AS101">
        <v>1</v>
      </c>
      <c r="AT101">
        <v>22</v>
      </c>
      <c r="AU101" t="str">
        <v>N/A</v>
      </c>
      <c r="AV101">
        <v>1</v>
      </c>
    </row>
    <row r="102" spans="1:48" ht="39.75" thickBot="1" x14ac:dyDescent="0.3">
      <c r="A102" s="25">
        <v>101</v>
      </c>
      <c r="B102" s="26" t="s">
        <v>245</v>
      </c>
      <c r="C102" s="4" t="s">
        <v>105</v>
      </c>
      <c r="D102" s="4">
        <v>-2</v>
      </c>
      <c r="E102" s="4">
        <v>0</v>
      </c>
      <c r="F102" s="4">
        <v>0</v>
      </c>
      <c r="G102" s="4">
        <v>1</v>
      </c>
      <c r="H102" s="4">
        <v>0</v>
      </c>
      <c r="I102" s="4">
        <v>0</v>
      </c>
      <c r="J102" s="4">
        <v>-1</v>
      </c>
      <c r="K102" s="4">
        <v>0</v>
      </c>
      <c r="L102" s="4">
        <v>0</v>
      </c>
      <c r="M102" s="4">
        <v>-1</v>
      </c>
      <c r="N102" s="4">
        <v>0</v>
      </c>
      <c r="O102" s="4">
        <v>0</v>
      </c>
      <c r="P102" s="4">
        <v>-1</v>
      </c>
      <c r="Q102" s="4">
        <v>0</v>
      </c>
      <c r="R102" s="4">
        <v>-1</v>
      </c>
      <c r="S102" s="4">
        <v>0</v>
      </c>
      <c r="T102" s="4">
        <v>-1</v>
      </c>
      <c r="U102" s="4">
        <v>0</v>
      </c>
      <c r="V102" s="5">
        <v>22</v>
      </c>
      <c r="W102" s="4" t="s">
        <v>144</v>
      </c>
      <c r="X102" s="6">
        <v>2</v>
      </c>
      <c r="Y102" s="31" cm="1">
        <f t="array" ref="Y102">IFERROR(_xlfn.XMATCH(TRUE, ISNUMBER(SEARCH($B$2:$B$201, C102))), 9999)</f>
        <v>101</v>
      </c>
      <c r="Z102" s="7"/>
      <c r="AA102" s="7" t="str">
        <v>송다은, 040801</v>
      </c>
      <c r="AB102" s="7">
        <v>-2</v>
      </c>
      <c r="AC102" s="7">
        <v>0</v>
      </c>
      <c r="AD102" s="7">
        <v>0</v>
      </c>
      <c r="AE102">
        <v>1</v>
      </c>
      <c r="AF102">
        <v>0</v>
      </c>
      <c r="AG102">
        <v>0</v>
      </c>
      <c r="AH102">
        <v>-1</v>
      </c>
      <c r="AI102">
        <v>0</v>
      </c>
      <c r="AJ102">
        <v>0</v>
      </c>
      <c r="AK102">
        <v>-1</v>
      </c>
      <c r="AL102">
        <v>0</v>
      </c>
      <c r="AM102">
        <v>0</v>
      </c>
      <c r="AN102">
        <v>-1</v>
      </c>
      <c r="AO102">
        <v>0</v>
      </c>
      <c r="AP102">
        <v>-1</v>
      </c>
      <c r="AQ102">
        <v>0</v>
      </c>
      <c r="AR102">
        <v>-1</v>
      </c>
      <c r="AS102">
        <v>0</v>
      </c>
      <c r="AT102">
        <v>22</v>
      </c>
      <c r="AU102" t="str">
        <v>N/A</v>
      </c>
      <c r="AV102">
        <v>2</v>
      </c>
    </row>
    <row r="103" spans="1:48" ht="27" thickBot="1" x14ac:dyDescent="0.3">
      <c r="A103" s="25">
        <v>102</v>
      </c>
      <c r="B103" s="26" t="s">
        <v>246</v>
      </c>
      <c r="C103" s="8" t="s">
        <v>106</v>
      </c>
      <c r="D103" s="8">
        <v>-2</v>
      </c>
      <c r="E103" s="8">
        <v>2</v>
      </c>
      <c r="F103" s="8">
        <v>2</v>
      </c>
      <c r="G103" s="8">
        <v>2</v>
      </c>
      <c r="H103" s="8">
        <v>2</v>
      </c>
      <c r="I103" s="8">
        <v>1</v>
      </c>
      <c r="J103" s="8">
        <v>1</v>
      </c>
      <c r="K103" s="8">
        <v>-1</v>
      </c>
      <c r="L103" s="8">
        <v>2</v>
      </c>
      <c r="M103" s="8">
        <v>-1</v>
      </c>
      <c r="N103" s="8">
        <v>1</v>
      </c>
      <c r="O103" s="8">
        <v>-2</v>
      </c>
      <c r="P103" s="8">
        <v>0</v>
      </c>
      <c r="Q103" s="8">
        <v>-1</v>
      </c>
      <c r="R103" s="8">
        <v>-1</v>
      </c>
      <c r="S103" s="8">
        <v>-2</v>
      </c>
      <c r="T103" s="8">
        <v>-1</v>
      </c>
      <c r="U103" s="8">
        <v>2</v>
      </c>
      <c r="V103" s="8">
        <v>23</v>
      </c>
      <c r="W103" s="8" t="s">
        <v>144</v>
      </c>
      <c r="X103" s="10">
        <v>-2</v>
      </c>
      <c r="Y103" s="31" cm="1">
        <f t="array" ref="Y103">IFERROR(_xlfn.XMATCH(TRUE, ISNUMBER(SEARCH($B$2:$B$201, C103))), 9999)</f>
        <v>102</v>
      </c>
      <c r="Z103" s="7"/>
      <c r="AA103" s="7" t="str">
        <v>양아현, 2001.08.08.</v>
      </c>
      <c r="AB103" s="7">
        <v>-2</v>
      </c>
      <c r="AC103" s="7">
        <v>2</v>
      </c>
      <c r="AD103" s="7">
        <v>2</v>
      </c>
      <c r="AE103">
        <v>2</v>
      </c>
      <c r="AF103">
        <v>2</v>
      </c>
      <c r="AG103">
        <v>1</v>
      </c>
      <c r="AH103">
        <v>1</v>
      </c>
      <c r="AI103">
        <v>-1</v>
      </c>
      <c r="AJ103">
        <v>2</v>
      </c>
      <c r="AK103">
        <v>-1</v>
      </c>
      <c r="AL103">
        <v>1</v>
      </c>
      <c r="AM103">
        <v>-2</v>
      </c>
      <c r="AN103">
        <v>0</v>
      </c>
      <c r="AO103">
        <v>-1</v>
      </c>
      <c r="AP103">
        <v>-1</v>
      </c>
      <c r="AQ103">
        <v>-2</v>
      </c>
      <c r="AR103">
        <v>-1</v>
      </c>
      <c r="AS103">
        <v>2</v>
      </c>
      <c r="AT103">
        <v>23</v>
      </c>
      <c r="AU103" t="str">
        <v>N/A</v>
      </c>
      <c r="AV103">
        <v>-2</v>
      </c>
    </row>
    <row r="104" spans="1:48" ht="27" thickBot="1" x14ac:dyDescent="0.3">
      <c r="A104" s="25">
        <v>103</v>
      </c>
      <c r="B104" s="26" t="s">
        <v>247</v>
      </c>
      <c r="C104" s="4" t="s">
        <v>107</v>
      </c>
      <c r="D104" s="4">
        <v>-1</v>
      </c>
      <c r="E104" s="4">
        <v>2</v>
      </c>
      <c r="F104" s="4">
        <v>1</v>
      </c>
      <c r="G104" s="4">
        <v>1</v>
      </c>
      <c r="H104" s="4">
        <v>2</v>
      </c>
      <c r="I104" s="4">
        <v>0</v>
      </c>
      <c r="J104" s="4">
        <v>1</v>
      </c>
      <c r="K104" s="4">
        <v>1</v>
      </c>
      <c r="L104" s="4">
        <v>-1</v>
      </c>
      <c r="M104" s="4">
        <v>0</v>
      </c>
      <c r="N104" s="4">
        <v>2</v>
      </c>
      <c r="O104" s="4">
        <v>1</v>
      </c>
      <c r="P104" s="4">
        <v>0</v>
      </c>
      <c r="Q104" s="4">
        <v>2</v>
      </c>
      <c r="R104" s="4">
        <v>1</v>
      </c>
      <c r="S104" s="4">
        <v>-1</v>
      </c>
      <c r="T104" s="4">
        <v>2</v>
      </c>
      <c r="U104" s="4">
        <v>1</v>
      </c>
      <c r="V104" s="5">
        <v>26</v>
      </c>
      <c r="W104" s="4" t="s">
        <v>144</v>
      </c>
      <c r="X104" s="6">
        <v>-1</v>
      </c>
      <c r="Y104" s="31" cm="1">
        <f t="array" ref="Y104">IFERROR(_xlfn.XMATCH(TRUE, ISNUMBER(SEARCH($B$2:$B$201, C104))), 9999)</f>
        <v>117</v>
      </c>
      <c r="Z104" s="7"/>
      <c r="AA104" s="7" t="str">
        <v>손단비, 010530</v>
      </c>
      <c r="AB104" s="7">
        <v>-2</v>
      </c>
      <c r="AC104" s="7">
        <v>2</v>
      </c>
      <c r="AD104" s="7">
        <v>-1</v>
      </c>
      <c r="AE104">
        <v>2</v>
      </c>
      <c r="AF104">
        <v>1</v>
      </c>
      <c r="AG104">
        <v>-1</v>
      </c>
      <c r="AH104">
        <v>0</v>
      </c>
      <c r="AI104">
        <v>1</v>
      </c>
      <c r="AJ104">
        <v>1</v>
      </c>
      <c r="AK104">
        <v>-2</v>
      </c>
      <c r="AL104">
        <v>2</v>
      </c>
      <c r="AM104">
        <v>-2</v>
      </c>
      <c r="AN104">
        <v>1</v>
      </c>
      <c r="AO104">
        <v>1</v>
      </c>
      <c r="AP104">
        <v>0</v>
      </c>
      <c r="AQ104">
        <v>-2</v>
      </c>
      <c r="AR104">
        <v>-1</v>
      </c>
      <c r="AS104">
        <v>2</v>
      </c>
      <c r="AT104">
        <v>27</v>
      </c>
      <c r="AU104" t="str">
        <v>N/A</v>
      </c>
      <c r="AV104">
        <v>-1</v>
      </c>
    </row>
    <row r="105" spans="1:48" ht="27" thickBot="1" x14ac:dyDescent="0.3">
      <c r="A105" s="25">
        <v>104</v>
      </c>
      <c r="B105" s="26" t="s">
        <v>248</v>
      </c>
      <c r="C105" s="4" t="s">
        <v>108</v>
      </c>
      <c r="D105" s="4">
        <v>-1</v>
      </c>
      <c r="E105" s="4">
        <v>-1</v>
      </c>
      <c r="F105" s="4">
        <v>1</v>
      </c>
      <c r="G105" s="4">
        <v>2</v>
      </c>
      <c r="H105" s="4">
        <v>1</v>
      </c>
      <c r="I105" s="4">
        <v>-2</v>
      </c>
      <c r="J105" s="4">
        <v>-1</v>
      </c>
      <c r="K105" s="4">
        <v>-1</v>
      </c>
      <c r="L105" s="4">
        <v>-1</v>
      </c>
      <c r="M105" s="4">
        <v>1</v>
      </c>
      <c r="N105" s="4">
        <v>2</v>
      </c>
      <c r="O105" s="4">
        <v>1</v>
      </c>
      <c r="P105" s="4">
        <v>-1</v>
      </c>
      <c r="Q105" s="4">
        <v>0</v>
      </c>
      <c r="R105" s="4">
        <v>-1</v>
      </c>
      <c r="S105" s="4">
        <v>-2</v>
      </c>
      <c r="T105" s="4">
        <v>-2</v>
      </c>
      <c r="U105" s="4">
        <v>1</v>
      </c>
      <c r="V105" s="4" t="s">
        <v>144</v>
      </c>
      <c r="W105" s="4" t="s">
        <v>144</v>
      </c>
      <c r="X105" s="6">
        <v>1</v>
      </c>
      <c r="Y105" s="31" cm="1">
        <f t="array" ref="Y105">IFERROR(_xlfn.XMATCH(TRUE, ISNUMBER(SEARCH($B$2:$B$201, C105))), 9999)</f>
        <v>121</v>
      </c>
      <c r="Z105" s="7"/>
      <c r="AA105" s="7" t="str">
        <v>조윤민 951102</v>
      </c>
      <c r="AB105" s="7">
        <v>-1</v>
      </c>
      <c r="AC105" s="7">
        <v>2</v>
      </c>
      <c r="AD105" s="7">
        <v>2</v>
      </c>
      <c r="AE105">
        <v>2</v>
      </c>
      <c r="AF105">
        <v>2</v>
      </c>
      <c r="AG105">
        <v>-1</v>
      </c>
      <c r="AH105">
        <v>1</v>
      </c>
      <c r="AI105">
        <v>2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-1</v>
      </c>
      <c r="AR105">
        <v>1</v>
      </c>
      <c r="AS105">
        <v>1</v>
      </c>
      <c r="AT105">
        <v>28</v>
      </c>
      <c r="AU105">
        <v>28</v>
      </c>
      <c r="AV105">
        <v>-1</v>
      </c>
    </row>
    <row r="106" spans="1:48" ht="27" thickBot="1" x14ac:dyDescent="0.3">
      <c r="A106" s="25">
        <v>105</v>
      </c>
      <c r="B106" s="26" t="s">
        <v>249</v>
      </c>
      <c r="C106" s="8" t="s">
        <v>109</v>
      </c>
      <c r="D106" s="8">
        <v>-2</v>
      </c>
      <c r="E106" s="8">
        <v>1</v>
      </c>
      <c r="F106" s="8">
        <v>1</v>
      </c>
      <c r="G106" s="8">
        <v>2</v>
      </c>
      <c r="H106" s="8">
        <v>1</v>
      </c>
      <c r="I106" s="8">
        <v>-2</v>
      </c>
      <c r="J106" s="8">
        <v>1</v>
      </c>
      <c r="K106" s="8">
        <v>0</v>
      </c>
      <c r="L106" s="8">
        <v>0</v>
      </c>
      <c r="M106" s="8">
        <v>0</v>
      </c>
      <c r="N106" s="8">
        <v>2</v>
      </c>
      <c r="O106" s="8">
        <v>-2</v>
      </c>
      <c r="P106" s="8">
        <v>-1</v>
      </c>
      <c r="Q106" s="8">
        <v>0</v>
      </c>
      <c r="R106" s="8">
        <v>0</v>
      </c>
      <c r="S106" s="8">
        <v>-1</v>
      </c>
      <c r="T106" s="8">
        <v>0</v>
      </c>
      <c r="U106" s="8">
        <v>1</v>
      </c>
      <c r="V106" s="9">
        <v>25</v>
      </c>
      <c r="W106" s="8" t="s">
        <v>144</v>
      </c>
      <c r="X106" s="10">
        <v>0</v>
      </c>
      <c r="Y106" s="31" cm="1">
        <f t="array" ref="Y106">IFERROR(_xlfn.XMATCH(TRUE, ISNUMBER(SEARCH($B$2:$B$201, C106))), 9999)</f>
        <v>81</v>
      </c>
      <c r="Z106" s="7"/>
      <c r="AA106" s="7" t="str">
        <v>조지성 2001.04.23</v>
      </c>
      <c r="AB106" s="7">
        <v>-1</v>
      </c>
      <c r="AC106" s="7">
        <v>2</v>
      </c>
      <c r="AD106" s="7">
        <v>1</v>
      </c>
      <c r="AE106">
        <v>2</v>
      </c>
      <c r="AF106">
        <v>-1</v>
      </c>
      <c r="AG106">
        <v>-2</v>
      </c>
      <c r="AH106">
        <v>-1</v>
      </c>
      <c r="AI106">
        <v>1</v>
      </c>
      <c r="AJ106">
        <v>-1</v>
      </c>
      <c r="AK106">
        <v>-1</v>
      </c>
      <c r="AL106">
        <v>2</v>
      </c>
      <c r="AM106">
        <v>-2</v>
      </c>
      <c r="AN106">
        <v>-1</v>
      </c>
      <c r="AO106">
        <v>1</v>
      </c>
      <c r="AP106">
        <v>1</v>
      </c>
      <c r="AQ106">
        <v>-1</v>
      </c>
      <c r="AR106">
        <v>1</v>
      </c>
      <c r="AS106">
        <v>2</v>
      </c>
      <c r="AT106">
        <v>24</v>
      </c>
      <c r="AU106" t="str">
        <v>N/A</v>
      </c>
      <c r="AV106">
        <v>1</v>
      </c>
    </row>
    <row r="107" spans="1:48" ht="30" thickBot="1" x14ac:dyDescent="0.3">
      <c r="A107" s="25">
        <v>106</v>
      </c>
      <c r="B107" s="26" t="s">
        <v>250</v>
      </c>
      <c r="C107" s="23" t="s">
        <v>155</v>
      </c>
      <c r="D107" s="4">
        <v>-2</v>
      </c>
      <c r="E107" s="4">
        <v>2</v>
      </c>
      <c r="F107" s="4">
        <v>0</v>
      </c>
      <c r="G107" s="4">
        <v>1</v>
      </c>
      <c r="H107" s="4">
        <v>2</v>
      </c>
      <c r="I107" s="4">
        <v>0</v>
      </c>
      <c r="J107" s="4">
        <v>1</v>
      </c>
      <c r="K107" s="4">
        <v>2</v>
      </c>
      <c r="L107" s="4">
        <v>1</v>
      </c>
      <c r="M107" s="4">
        <v>-1</v>
      </c>
      <c r="N107" s="4">
        <v>1</v>
      </c>
      <c r="O107" s="4">
        <v>-1</v>
      </c>
      <c r="P107" s="4">
        <v>0</v>
      </c>
      <c r="Q107" s="4">
        <v>0</v>
      </c>
      <c r="R107" s="4">
        <v>1</v>
      </c>
      <c r="S107" s="4">
        <v>-1</v>
      </c>
      <c r="T107" s="4">
        <v>2</v>
      </c>
      <c r="U107" s="4">
        <v>2</v>
      </c>
      <c r="V107" s="5">
        <v>24</v>
      </c>
      <c r="W107" s="5">
        <v>26</v>
      </c>
      <c r="X107" s="6">
        <v>-1</v>
      </c>
      <c r="Y107" s="31" cm="1">
        <f t="array" ref="Y107">IFERROR(_xlfn.XMATCH(TRUE, ISNUMBER(SEARCH($B$2:$B$201, C107))), 9999)</f>
        <v>37</v>
      </c>
      <c r="Z107" s="7"/>
      <c r="AA107" s="7" t="str">
        <v>김건욱 2000.11.28</v>
      </c>
      <c r="AB107" s="7">
        <v>1</v>
      </c>
      <c r="AC107" s="7">
        <v>1</v>
      </c>
      <c r="AD107" s="7">
        <v>1</v>
      </c>
      <c r="AE107">
        <v>2</v>
      </c>
      <c r="AF107">
        <v>0</v>
      </c>
      <c r="AG107">
        <v>-2</v>
      </c>
      <c r="AH107">
        <v>-1</v>
      </c>
      <c r="AI107">
        <v>1</v>
      </c>
      <c r="AJ107">
        <v>0</v>
      </c>
      <c r="AK107">
        <v>-1</v>
      </c>
      <c r="AL107">
        <v>1</v>
      </c>
      <c r="AM107">
        <v>-2</v>
      </c>
      <c r="AN107">
        <v>-2</v>
      </c>
      <c r="AO107">
        <v>1</v>
      </c>
      <c r="AP107">
        <v>-1</v>
      </c>
      <c r="AQ107">
        <v>-2</v>
      </c>
      <c r="AR107">
        <v>-2</v>
      </c>
      <c r="AS107">
        <v>1</v>
      </c>
      <c r="AT107">
        <v>23</v>
      </c>
      <c r="AU107" t="str">
        <v>N/A</v>
      </c>
      <c r="AV107">
        <v>1</v>
      </c>
    </row>
    <row r="108" spans="1:48" ht="27" thickBot="1" x14ac:dyDescent="0.3">
      <c r="A108" s="25">
        <v>107</v>
      </c>
      <c r="B108" s="26" t="s">
        <v>251</v>
      </c>
      <c r="C108" s="8" t="s">
        <v>110</v>
      </c>
      <c r="D108" s="8">
        <v>-1</v>
      </c>
      <c r="E108" s="8">
        <v>2</v>
      </c>
      <c r="F108" s="8">
        <v>1</v>
      </c>
      <c r="G108" s="8">
        <v>2</v>
      </c>
      <c r="H108" s="8">
        <v>2</v>
      </c>
      <c r="I108" s="8">
        <v>0</v>
      </c>
      <c r="J108" s="8">
        <v>1</v>
      </c>
      <c r="K108" s="8">
        <v>2</v>
      </c>
      <c r="L108" s="8">
        <v>1</v>
      </c>
      <c r="M108" s="8">
        <v>-1</v>
      </c>
      <c r="N108" s="8">
        <v>1</v>
      </c>
      <c r="O108" s="8">
        <v>1</v>
      </c>
      <c r="P108" s="8">
        <v>1</v>
      </c>
      <c r="Q108" s="8">
        <v>-1</v>
      </c>
      <c r="R108" s="8">
        <v>1</v>
      </c>
      <c r="S108" s="8">
        <v>-1</v>
      </c>
      <c r="T108" s="8">
        <v>1</v>
      </c>
      <c r="U108" s="8">
        <v>1</v>
      </c>
      <c r="V108" s="9">
        <v>25</v>
      </c>
      <c r="W108" s="9">
        <v>22</v>
      </c>
      <c r="X108" s="10">
        <v>0</v>
      </c>
      <c r="Y108" s="31" cm="1">
        <f t="array" ref="Y108">IFERROR(_xlfn.XMATCH(TRUE, ISNUMBER(SEARCH($B$2:$B$201, C108))), 9999)</f>
        <v>15</v>
      </c>
      <c r="Z108" s="7"/>
      <c r="AA108" s="7" t="str">
        <v>송다빈/920526</v>
      </c>
      <c r="AB108" s="7">
        <v>-1</v>
      </c>
      <c r="AC108" s="7">
        <v>1</v>
      </c>
      <c r="AD108" s="7">
        <v>0</v>
      </c>
      <c r="AE108">
        <v>1</v>
      </c>
      <c r="AF108">
        <v>-1</v>
      </c>
      <c r="AG108">
        <v>-1</v>
      </c>
      <c r="AH108">
        <v>-1</v>
      </c>
      <c r="AI108">
        <v>-1</v>
      </c>
      <c r="AJ108">
        <v>-1</v>
      </c>
      <c r="AK108">
        <v>-1</v>
      </c>
      <c r="AL108">
        <v>0</v>
      </c>
      <c r="AM108">
        <v>-1</v>
      </c>
      <c r="AN108">
        <v>-1</v>
      </c>
      <c r="AO108">
        <v>0</v>
      </c>
      <c r="AP108">
        <v>-1</v>
      </c>
      <c r="AQ108">
        <v>-1</v>
      </c>
      <c r="AR108">
        <v>-1</v>
      </c>
      <c r="AS108">
        <v>0</v>
      </c>
      <c r="AT108" t="str">
        <v>N/A</v>
      </c>
      <c r="AU108" t="str">
        <v>N/A</v>
      </c>
      <c r="AV108">
        <v>0</v>
      </c>
    </row>
    <row r="109" spans="1:48" ht="26.25" thickBot="1" x14ac:dyDescent="0.4">
      <c r="A109" s="25">
        <v>108</v>
      </c>
      <c r="B109" s="41" t="s">
        <v>287</v>
      </c>
      <c r="C109" s="4" t="s">
        <v>111</v>
      </c>
      <c r="D109" s="4">
        <v>-1</v>
      </c>
      <c r="E109" s="4">
        <v>1</v>
      </c>
      <c r="F109" s="4">
        <v>1</v>
      </c>
      <c r="G109" s="4">
        <v>1</v>
      </c>
      <c r="H109" s="4">
        <v>1</v>
      </c>
      <c r="I109" s="4">
        <v>-1</v>
      </c>
      <c r="J109" s="4">
        <v>-1</v>
      </c>
      <c r="K109" s="4">
        <v>-1</v>
      </c>
      <c r="L109" s="4">
        <v>0</v>
      </c>
      <c r="M109" s="4">
        <v>-1</v>
      </c>
      <c r="N109" s="4">
        <v>2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1</v>
      </c>
      <c r="U109" s="4">
        <v>2</v>
      </c>
      <c r="V109" s="5">
        <v>26</v>
      </c>
      <c r="W109" s="5">
        <v>20</v>
      </c>
      <c r="X109" s="6">
        <v>1</v>
      </c>
      <c r="Y109" s="31" cm="1">
        <f t="array" ref="Y109">IFERROR(_xlfn.XMATCH(TRUE, ISNUMBER(SEARCH($B$2:$B$201, C109))), 9999)</f>
        <v>70</v>
      </c>
      <c r="Z109" s="7"/>
      <c r="AA109" s="7" t="str">
        <v>김동현 missing 20021209</v>
      </c>
      <c r="AB109" s="7">
        <v>0</v>
      </c>
      <c r="AC109" s="7">
        <v>0</v>
      </c>
      <c r="AD109" s="7" t="str">
        <v>010-5955-2312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 ht="39.75" thickBot="1" x14ac:dyDescent="0.3">
      <c r="A110" s="27">
        <v>109</v>
      </c>
      <c r="B110" s="27" t="s">
        <v>139</v>
      </c>
      <c r="C110" s="8" t="s">
        <v>112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-1</v>
      </c>
      <c r="L110" s="8">
        <v>1</v>
      </c>
      <c r="M110" s="8">
        <v>-1</v>
      </c>
      <c r="N110" s="8">
        <v>1</v>
      </c>
      <c r="O110" s="8">
        <v>1</v>
      </c>
      <c r="P110" s="8">
        <v>1</v>
      </c>
      <c r="Q110" s="8">
        <v>-1</v>
      </c>
      <c r="R110" s="8">
        <v>-1</v>
      </c>
      <c r="S110" s="8">
        <v>0</v>
      </c>
      <c r="T110" s="8">
        <v>0</v>
      </c>
      <c r="U110" s="8">
        <v>0</v>
      </c>
      <c r="V110" s="9">
        <v>23</v>
      </c>
      <c r="W110" s="9">
        <v>27</v>
      </c>
      <c r="X110" s="10">
        <v>1</v>
      </c>
      <c r="Y110" s="31" cm="1">
        <f t="array" ref="Y110">IFERROR(_xlfn.XMATCH(TRUE, ISNUMBER(SEARCH($B$2:$B$201, C110))), 9999)</f>
        <v>71</v>
      </c>
      <c r="Z110" s="7"/>
      <c r="AA110" s="7" t="str">
        <v>차민아</v>
      </c>
      <c r="AB110" s="7">
        <v>-2</v>
      </c>
      <c r="AC110" s="7">
        <v>2</v>
      </c>
      <c r="AD110" s="7">
        <v>-2</v>
      </c>
      <c r="AE110">
        <v>1</v>
      </c>
      <c r="AF110">
        <v>1</v>
      </c>
      <c r="AG110">
        <v>-2</v>
      </c>
      <c r="AH110">
        <v>1</v>
      </c>
      <c r="AI110">
        <v>-2</v>
      </c>
      <c r="AJ110">
        <v>-2</v>
      </c>
      <c r="AK110">
        <v>1</v>
      </c>
      <c r="AL110">
        <v>2</v>
      </c>
      <c r="AM110">
        <v>-2</v>
      </c>
      <c r="AN110">
        <v>-2</v>
      </c>
      <c r="AO110">
        <v>1</v>
      </c>
      <c r="AP110">
        <v>-2</v>
      </c>
      <c r="AQ110">
        <v>-2</v>
      </c>
      <c r="AR110">
        <v>-2</v>
      </c>
      <c r="AS110">
        <v>1</v>
      </c>
      <c r="AT110">
        <v>22</v>
      </c>
      <c r="AU110">
        <v>26</v>
      </c>
      <c r="AV110">
        <v>2</v>
      </c>
    </row>
    <row r="111" spans="1:48" ht="27" thickBot="1" x14ac:dyDescent="0.3">
      <c r="A111" s="25">
        <v>110</v>
      </c>
      <c r="B111" s="26" t="s">
        <v>252</v>
      </c>
      <c r="C111" s="4" t="s">
        <v>113</v>
      </c>
      <c r="D111" s="4">
        <v>-1</v>
      </c>
      <c r="E111" s="4">
        <v>1</v>
      </c>
      <c r="F111" s="4">
        <v>1</v>
      </c>
      <c r="G111" s="4">
        <v>2</v>
      </c>
      <c r="H111" s="4">
        <v>1</v>
      </c>
      <c r="I111" s="4">
        <v>1</v>
      </c>
      <c r="J111" s="4">
        <v>1</v>
      </c>
      <c r="K111" s="4">
        <v>1</v>
      </c>
      <c r="L111" s="4">
        <v>1</v>
      </c>
      <c r="M111" s="4">
        <v>-1</v>
      </c>
      <c r="N111" s="4">
        <v>2</v>
      </c>
      <c r="O111" s="4">
        <v>-1</v>
      </c>
      <c r="P111" s="4">
        <v>1</v>
      </c>
      <c r="Q111" s="4">
        <v>0</v>
      </c>
      <c r="R111" s="4">
        <v>-1</v>
      </c>
      <c r="S111" s="4">
        <v>0</v>
      </c>
      <c r="T111" s="4">
        <v>-1</v>
      </c>
      <c r="U111" s="4">
        <v>1</v>
      </c>
      <c r="V111" s="4">
        <v>24</v>
      </c>
      <c r="W111" s="4" t="s">
        <v>144</v>
      </c>
      <c r="X111" s="6">
        <v>1</v>
      </c>
      <c r="Y111" s="31" cm="1">
        <f t="array" ref="Y111">IFERROR(_xlfn.XMATCH(TRUE, ISNUMBER(SEARCH($B$2:$B$201, C111))), 9999)</f>
        <v>98</v>
      </c>
      <c r="Z111" s="7"/>
      <c r="AA111" s="7" t="str">
        <v>전미강/2003.10.12</v>
      </c>
      <c r="AB111" s="7">
        <v>-1</v>
      </c>
      <c r="AC111" s="7">
        <v>2</v>
      </c>
      <c r="AD111" s="7">
        <v>2</v>
      </c>
      <c r="AE111">
        <v>1</v>
      </c>
      <c r="AF111">
        <v>-1</v>
      </c>
      <c r="AG111">
        <v>-2</v>
      </c>
      <c r="AH111">
        <v>1</v>
      </c>
      <c r="AI111">
        <v>-1</v>
      </c>
      <c r="AJ111">
        <v>1</v>
      </c>
      <c r="AK111">
        <v>1</v>
      </c>
      <c r="AL111">
        <v>1</v>
      </c>
      <c r="AM111">
        <v>-1</v>
      </c>
      <c r="AN111">
        <v>1</v>
      </c>
      <c r="AO111">
        <v>0</v>
      </c>
      <c r="AP111">
        <v>1</v>
      </c>
      <c r="AQ111">
        <v>-1</v>
      </c>
      <c r="AR111">
        <v>-1</v>
      </c>
      <c r="AS111">
        <v>1</v>
      </c>
      <c r="AT111">
        <v>25</v>
      </c>
      <c r="AU111">
        <v>27</v>
      </c>
      <c r="AV111">
        <v>-1</v>
      </c>
    </row>
    <row r="112" spans="1:48" ht="27" thickBot="1" x14ac:dyDescent="0.3">
      <c r="A112" s="25">
        <v>111</v>
      </c>
      <c r="B112" s="26" t="s">
        <v>253</v>
      </c>
      <c r="C112" s="8" t="s">
        <v>114</v>
      </c>
      <c r="D112" s="8">
        <v>-1</v>
      </c>
      <c r="E112" s="8">
        <v>1</v>
      </c>
      <c r="F112" s="8">
        <v>0</v>
      </c>
      <c r="G112" s="8">
        <v>1</v>
      </c>
      <c r="H112" s="8">
        <v>1</v>
      </c>
      <c r="I112" s="8">
        <v>0</v>
      </c>
      <c r="J112" s="8">
        <v>0</v>
      </c>
      <c r="K112" s="8">
        <v>1</v>
      </c>
      <c r="L112" s="8">
        <v>0</v>
      </c>
      <c r="M112" s="8">
        <v>0</v>
      </c>
      <c r="N112" s="8">
        <v>1</v>
      </c>
      <c r="O112" s="8">
        <v>0</v>
      </c>
      <c r="P112" s="8">
        <v>0</v>
      </c>
      <c r="Q112" s="8">
        <v>0</v>
      </c>
      <c r="R112" s="8">
        <v>0</v>
      </c>
      <c r="S112" s="8">
        <v>-1</v>
      </c>
      <c r="T112" s="8">
        <v>0</v>
      </c>
      <c r="U112" s="8">
        <v>1</v>
      </c>
      <c r="V112" s="8">
        <v>20</v>
      </c>
      <c r="W112" s="8">
        <v>26</v>
      </c>
      <c r="X112" s="10">
        <v>1</v>
      </c>
      <c r="Y112" s="31" cm="1">
        <f t="array" ref="Y112">IFERROR(_xlfn.XMATCH(TRUE, ISNUMBER(SEARCH($B$2:$B$201, C112))), 9999)</f>
        <v>129</v>
      </c>
      <c r="Z112" s="7"/>
      <c r="AA112" s="7" t="str">
        <v>박민주 20030630</v>
      </c>
      <c r="AB112" s="7">
        <v>-2</v>
      </c>
      <c r="AC112" s="7">
        <v>2</v>
      </c>
      <c r="AD112" s="7">
        <v>2</v>
      </c>
      <c r="AE112">
        <v>2</v>
      </c>
      <c r="AF112">
        <v>2</v>
      </c>
      <c r="AG112">
        <v>-2</v>
      </c>
      <c r="AH112">
        <v>2</v>
      </c>
      <c r="AI112">
        <v>2</v>
      </c>
      <c r="AJ112">
        <v>-2</v>
      </c>
      <c r="AK112">
        <v>0</v>
      </c>
      <c r="AL112">
        <v>2</v>
      </c>
      <c r="AM112">
        <v>-2</v>
      </c>
      <c r="AN112">
        <v>-2</v>
      </c>
      <c r="AO112">
        <v>2</v>
      </c>
      <c r="AP112">
        <v>2</v>
      </c>
      <c r="AQ112">
        <v>-2</v>
      </c>
      <c r="AR112">
        <v>-1</v>
      </c>
      <c r="AS112">
        <v>2</v>
      </c>
      <c r="AT112">
        <v>26</v>
      </c>
      <c r="AU112">
        <v>18</v>
      </c>
      <c r="AV112">
        <v>1</v>
      </c>
    </row>
    <row r="113" spans="1:48" ht="27" thickBot="1" x14ac:dyDescent="0.3">
      <c r="A113" s="25">
        <v>112</v>
      </c>
      <c r="B113" s="26" t="s">
        <v>254</v>
      </c>
      <c r="C113" s="4" t="s">
        <v>115</v>
      </c>
      <c r="D113" s="4">
        <v>-1</v>
      </c>
      <c r="E113" s="4">
        <v>2</v>
      </c>
      <c r="F113" s="4">
        <v>2</v>
      </c>
      <c r="G113" s="4">
        <v>2</v>
      </c>
      <c r="H113" s="4">
        <v>2</v>
      </c>
      <c r="I113" s="4">
        <v>-1</v>
      </c>
      <c r="J113" s="4">
        <v>1</v>
      </c>
      <c r="K113" s="4">
        <v>2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-1</v>
      </c>
      <c r="T113" s="4">
        <v>1</v>
      </c>
      <c r="U113" s="4">
        <v>1</v>
      </c>
      <c r="V113" s="5">
        <v>28</v>
      </c>
      <c r="W113" s="5">
        <v>28</v>
      </c>
      <c r="X113" s="6">
        <v>-1</v>
      </c>
      <c r="Y113" s="31" cm="1">
        <f t="array" ref="Y113">IFERROR(_xlfn.XMATCH(TRUE, ISNUMBER(SEARCH($B$2:$B$201, C113))), 9999)</f>
        <v>104</v>
      </c>
      <c r="Z113" s="7"/>
      <c r="AA113" s="7" t="str">
        <v>고현진/ 050426</v>
      </c>
      <c r="AB113" s="7">
        <v>1</v>
      </c>
      <c r="AC113" s="7">
        <v>1</v>
      </c>
      <c r="AD113" s="7">
        <v>1</v>
      </c>
      <c r="AE113">
        <v>2</v>
      </c>
      <c r="AF113">
        <v>-1</v>
      </c>
      <c r="AG113">
        <v>-2</v>
      </c>
      <c r="AH113">
        <v>0</v>
      </c>
      <c r="AI113">
        <v>-2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1</v>
      </c>
      <c r="AP113">
        <v>-1</v>
      </c>
      <c r="AQ113">
        <v>-2</v>
      </c>
      <c r="AR113">
        <v>-1</v>
      </c>
      <c r="AS113">
        <v>0</v>
      </c>
      <c r="AT113">
        <v>24</v>
      </c>
      <c r="AU113" t="str">
        <v>N/A</v>
      </c>
      <c r="AV113">
        <v>1</v>
      </c>
    </row>
    <row r="114" spans="1:48" ht="27" thickBot="1" x14ac:dyDescent="0.3">
      <c r="A114" s="27">
        <v>113</v>
      </c>
      <c r="B114" s="27" t="s">
        <v>255</v>
      </c>
      <c r="C114" s="8" t="s">
        <v>116</v>
      </c>
      <c r="D114" s="8">
        <v>-1</v>
      </c>
      <c r="E114" s="8">
        <v>1</v>
      </c>
      <c r="F114" s="8">
        <v>1</v>
      </c>
      <c r="G114" s="8">
        <v>1</v>
      </c>
      <c r="H114" s="8">
        <v>1</v>
      </c>
      <c r="I114" s="8">
        <v>-1</v>
      </c>
      <c r="J114" s="8">
        <v>0</v>
      </c>
      <c r="K114" s="8">
        <v>0</v>
      </c>
      <c r="L114" s="8">
        <v>-1</v>
      </c>
      <c r="M114" s="8">
        <v>-1</v>
      </c>
      <c r="N114" s="8">
        <v>1</v>
      </c>
      <c r="O114" s="8">
        <v>-1</v>
      </c>
      <c r="P114" s="8">
        <v>-1</v>
      </c>
      <c r="Q114" s="8">
        <v>1</v>
      </c>
      <c r="R114" s="8">
        <v>-1</v>
      </c>
      <c r="S114" s="8">
        <v>-1</v>
      </c>
      <c r="T114" s="8">
        <v>-1</v>
      </c>
      <c r="U114" s="8">
        <v>0</v>
      </c>
      <c r="V114" s="8">
        <v>24</v>
      </c>
      <c r="W114" s="8" t="s">
        <v>144</v>
      </c>
      <c r="X114" s="10">
        <v>1</v>
      </c>
      <c r="Y114" s="31" cm="1">
        <f t="array" ref="Y114">IFERROR(_xlfn.XMATCH(TRUE, ISNUMBER(SEARCH($B$2:$B$201, C114))), 9999)</f>
        <v>3</v>
      </c>
      <c r="Z114" s="7"/>
      <c r="AA114" s="7" t="str">
        <v>기창근 / 2000.09.05</v>
      </c>
      <c r="AB114" s="7">
        <v>-1</v>
      </c>
      <c r="AC114" s="7">
        <v>1</v>
      </c>
      <c r="AD114" s="7">
        <v>1</v>
      </c>
      <c r="AE114">
        <v>1</v>
      </c>
      <c r="AF114">
        <v>1</v>
      </c>
      <c r="AG114">
        <v>-1</v>
      </c>
      <c r="AH114">
        <v>1</v>
      </c>
      <c r="AI114">
        <v>1</v>
      </c>
      <c r="AJ114">
        <v>0</v>
      </c>
      <c r="AK114">
        <v>1</v>
      </c>
      <c r="AL114">
        <v>1</v>
      </c>
      <c r="AM114">
        <v>1</v>
      </c>
      <c r="AN114">
        <v>1</v>
      </c>
      <c r="AO114">
        <v>-1</v>
      </c>
      <c r="AP114">
        <v>1</v>
      </c>
      <c r="AQ114">
        <v>-1</v>
      </c>
      <c r="AR114">
        <v>1</v>
      </c>
      <c r="AS114">
        <v>1</v>
      </c>
      <c r="AT114">
        <v>22</v>
      </c>
      <c r="AU114">
        <v>28</v>
      </c>
      <c r="AV114">
        <v>2</v>
      </c>
    </row>
    <row r="115" spans="1:48" ht="39.75" thickBot="1" x14ac:dyDescent="0.3">
      <c r="A115" s="25">
        <v>114</v>
      </c>
      <c r="B115" s="26" t="s">
        <v>256</v>
      </c>
      <c r="C115" s="4" t="s">
        <v>117</v>
      </c>
      <c r="D115" s="4">
        <v>-1</v>
      </c>
      <c r="E115" s="4">
        <v>1</v>
      </c>
      <c r="F115" s="4">
        <v>1</v>
      </c>
      <c r="G115" s="4">
        <v>1</v>
      </c>
      <c r="H115" s="4">
        <v>1</v>
      </c>
      <c r="I115" s="4">
        <v>-2</v>
      </c>
      <c r="J115" s="4">
        <v>0</v>
      </c>
      <c r="K115" s="4">
        <v>-1</v>
      </c>
      <c r="L115" s="4">
        <v>-1</v>
      </c>
      <c r="M115" s="4">
        <v>0</v>
      </c>
      <c r="N115" s="4">
        <v>1</v>
      </c>
      <c r="O115" s="4">
        <v>-1</v>
      </c>
      <c r="P115" s="4">
        <v>-1</v>
      </c>
      <c r="Q115" s="4">
        <v>1</v>
      </c>
      <c r="R115" s="4">
        <v>0</v>
      </c>
      <c r="S115" s="4">
        <v>-2</v>
      </c>
      <c r="T115" s="4">
        <v>-1</v>
      </c>
      <c r="U115" s="4">
        <v>1</v>
      </c>
      <c r="V115" s="5">
        <v>21</v>
      </c>
      <c r="W115" s="4" t="s">
        <v>144</v>
      </c>
      <c r="X115" s="6">
        <v>-1</v>
      </c>
      <c r="Y115" s="31" cm="1">
        <f t="array" ref="Y115">IFERROR(_xlfn.XMATCH(TRUE, ISNUMBER(SEARCH($B$2:$B$201, C115))), 9999)</f>
        <v>11</v>
      </c>
      <c r="Z115" s="7"/>
      <c r="AA115" s="7" t="str">
        <v>양형석, 2002.07.04</v>
      </c>
      <c r="AB115" s="7">
        <v>-1</v>
      </c>
      <c r="AC115" s="7">
        <v>1</v>
      </c>
      <c r="AD115" s="7">
        <v>0</v>
      </c>
      <c r="AE115">
        <v>1</v>
      </c>
      <c r="AF115">
        <v>0</v>
      </c>
      <c r="AG115">
        <v>-1</v>
      </c>
      <c r="AH115">
        <v>0</v>
      </c>
      <c r="AI115">
        <v>-1</v>
      </c>
      <c r="AJ115">
        <v>-1</v>
      </c>
      <c r="AK115">
        <v>-1</v>
      </c>
      <c r="AL115">
        <v>1</v>
      </c>
      <c r="AM115">
        <v>-1</v>
      </c>
      <c r="AN115">
        <v>-1</v>
      </c>
      <c r="AO115">
        <v>0</v>
      </c>
      <c r="AP115">
        <v>-1</v>
      </c>
      <c r="AQ115">
        <v>-1</v>
      </c>
      <c r="AR115">
        <v>-1</v>
      </c>
      <c r="AS115">
        <v>0</v>
      </c>
      <c r="AT115">
        <v>23</v>
      </c>
      <c r="AU115" t="str">
        <v>N/A</v>
      </c>
      <c r="AV115">
        <v>0</v>
      </c>
    </row>
    <row r="116" spans="1:48" ht="30" thickBot="1" x14ac:dyDescent="0.3">
      <c r="A116" s="25">
        <v>115</v>
      </c>
      <c r="B116" s="26" t="s">
        <v>257</v>
      </c>
      <c r="C116" s="22" t="s">
        <v>151</v>
      </c>
      <c r="D116" s="8">
        <v>-1</v>
      </c>
      <c r="E116" s="8">
        <v>1</v>
      </c>
      <c r="F116" s="8">
        <v>1</v>
      </c>
      <c r="G116" s="8">
        <v>2</v>
      </c>
      <c r="H116" s="8">
        <v>1</v>
      </c>
      <c r="I116" s="8">
        <v>-1</v>
      </c>
      <c r="J116" s="8">
        <v>1</v>
      </c>
      <c r="K116" s="8">
        <v>-1</v>
      </c>
      <c r="L116" s="8">
        <v>0</v>
      </c>
      <c r="M116" s="8">
        <v>-1</v>
      </c>
      <c r="N116" s="8">
        <v>1</v>
      </c>
      <c r="O116" s="8">
        <v>0</v>
      </c>
      <c r="P116" s="8">
        <v>-1</v>
      </c>
      <c r="Q116" s="8">
        <v>1</v>
      </c>
      <c r="R116" s="8">
        <v>0</v>
      </c>
      <c r="S116" s="8">
        <v>-2</v>
      </c>
      <c r="T116" s="8">
        <v>-2</v>
      </c>
      <c r="U116" s="8">
        <v>1</v>
      </c>
      <c r="V116" s="9">
        <v>27</v>
      </c>
      <c r="W116" s="8" t="s">
        <v>144</v>
      </c>
      <c r="X116" s="10">
        <v>1</v>
      </c>
      <c r="Y116" s="31" cm="1">
        <f t="array" ref="Y116">IFERROR(_xlfn.XMATCH(TRUE, ISNUMBER(SEARCH($B$2:$B$201, C116))), 9999)</f>
        <v>31</v>
      </c>
      <c r="Z116" s="7"/>
      <c r="AA116" s="7" t="str">
        <v>조용승/1996.04.11</v>
      </c>
      <c r="AB116" s="7">
        <v>-2</v>
      </c>
      <c r="AC116" s="7">
        <v>1</v>
      </c>
      <c r="AD116" s="7">
        <v>1</v>
      </c>
      <c r="AE116">
        <v>2</v>
      </c>
      <c r="AF116">
        <v>1</v>
      </c>
      <c r="AG116">
        <v>-1</v>
      </c>
      <c r="AH116">
        <v>1</v>
      </c>
      <c r="AI116">
        <v>0</v>
      </c>
      <c r="AJ116">
        <v>0</v>
      </c>
      <c r="AK116">
        <v>-1</v>
      </c>
      <c r="AL116">
        <v>2</v>
      </c>
      <c r="AM116">
        <v>0</v>
      </c>
      <c r="AN116">
        <v>0</v>
      </c>
      <c r="AO116">
        <v>-1</v>
      </c>
      <c r="AP116">
        <v>1</v>
      </c>
      <c r="AQ116">
        <v>-1</v>
      </c>
      <c r="AR116">
        <v>0</v>
      </c>
      <c r="AS116">
        <v>1</v>
      </c>
      <c r="AT116">
        <v>25</v>
      </c>
      <c r="AU116" t="str">
        <v>N/A</v>
      </c>
      <c r="AV116">
        <v>1</v>
      </c>
    </row>
    <row r="117" spans="1:48" ht="28.5" thickBot="1" x14ac:dyDescent="0.4">
      <c r="A117" s="25">
        <v>116</v>
      </c>
      <c r="B117" s="37" t="s">
        <v>289</v>
      </c>
      <c r="C117" s="4" t="s">
        <v>118</v>
      </c>
      <c r="D117" s="4">
        <v>-2</v>
      </c>
      <c r="E117" s="4">
        <v>2</v>
      </c>
      <c r="F117" s="4">
        <v>2</v>
      </c>
      <c r="G117" s="4">
        <v>2</v>
      </c>
      <c r="H117" s="4">
        <v>2</v>
      </c>
      <c r="I117" s="4">
        <v>0</v>
      </c>
      <c r="J117" s="4">
        <v>2</v>
      </c>
      <c r="K117" s="4">
        <v>2</v>
      </c>
      <c r="L117" s="4">
        <v>0</v>
      </c>
      <c r="M117" s="4">
        <v>-2</v>
      </c>
      <c r="N117" s="4">
        <v>2</v>
      </c>
      <c r="O117" s="4">
        <v>1</v>
      </c>
      <c r="P117" s="4">
        <v>0</v>
      </c>
      <c r="Q117" s="4">
        <v>-2</v>
      </c>
      <c r="R117" s="4">
        <v>1</v>
      </c>
      <c r="S117" s="4">
        <v>-2</v>
      </c>
      <c r="T117" s="4">
        <v>-2</v>
      </c>
      <c r="U117" s="4">
        <v>2</v>
      </c>
      <c r="V117" s="4">
        <v>18</v>
      </c>
      <c r="W117" s="4">
        <v>22</v>
      </c>
      <c r="X117" s="6">
        <v>2</v>
      </c>
      <c r="Y117" s="31" cm="1">
        <f t="array" ref="Y117">IFERROR(_xlfn.XMATCH(TRUE, ISNUMBER(SEARCH($B$2:$B$201, C117))), 9999)</f>
        <v>7</v>
      </c>
      <c r="Z117" s="7"/>
      <c r="AA117" s="7" t="str">
        <v>박상준 0101</v>
      </c>
      <c r="AB117" s="7">
        <v>1</v>
      </c>
      <c r="AC117" s="7">
        <v>-1</v>
      </c>
      <c r="AD117" s="7">
        <v>1</v>
      </c>
      <c r="AE117">
        <v>1</v>
      </c>
      <c r="AF117">
        <v>0</v>
      </c>
      <c r="AG117">
        <v>-2</v>
      </c>
      <c r="AH117">
        <v>-1</v>
      </c>
      <c r="AI117">
        <v>-1</v>
      </c>
      <c r="AJ117">
        <v>0</v>
      </c>
      <c r="AK117">
        <v>1</v>
      </c>
      <c r="AL117">
        <v>1</v>
      </c>
      <c r="AM117">
        <v>-1</v>
      </c>
      <c r="AN117">
        <v>-1</v>
      </c>
      <c r="AO117">
        <v>1</v>
      </c>
      <c r="AP117">
        <v>-1</v>
      </c>
      <c r="AQ117">
        <v>-1</v>
      </c>
      <c r="AR117">
        <v>-1</v>
      </c>
      <c r="AS117">
        <v>0</v>
      </c>
      <c r="AT117">
        <v>25</v>
      </c>
      <c r="AU117" t="str">
        <v>N/A</v>
      </c>
      <c r="AV117">
        <v>-2</v>
      </c>
    </row>
    <row r="118" spans="1:48" ht="39.75" thickBot="1" x14ac:dyDescent="0.3">
      <c r="A118" s="25">
        <v>117</v>
      </c>
      <c r="B118" s="26" t="s">
        <v>258</v>
      </c>
      <c r="C118" s="8" t="s">
        <v>120</v>
      </c>
      <c r="D118" s="4">
        <v>-1</v>
      </c>
      <c r="E118" s="4">
        <v>0</v>
      </c>
      <c r="F118" s="4">
        <v>1</v>
      </c>
      <c r="G118" s="4">
        <v>1</v>
      </c>
      <c r="H118" s="4">
        <v>1</v>
      </c>
      <c r="I118" s="4">
        <v>0</v>
      </c>
      <c r="J118" s="4">
        <v>0</v>
      </c>
      <c r="K118" s="4">
        <v>0</v>
      </c>
      <c r="L118" s="4">
        <v>1</v>
      </c>
      <c r="M118" s="4">
        <v>1</v>
      </c>
      <c r="N118" s="4">
        <v>0</v>
      </c>
      <c r="O118" s="4">
        <v>0</v>
      </c>
      <c r="P118" s="4">
        <v>0</v>
      </c>
      <c r="Q118" s="4">
        <v>-1</v>
      </c>
      <c r="R118" s="4">
        <v>0</v>
      </c>
      <c r="S118" s="4">
        <v>-1</v>
      </c>
      <c r="T118" s="4">
        <v>-1</v>
      </c>
      <c r="U118" s="4">
        <v>-1</v>
      </c>
      <c r="V118" s="4">
        <v>23</v>
      </c>
      <c r="W118" s="4" t="s">
        <v>144</v>
      </c>
      <c r="X118" s="6">
        <v>1</v>
      </c>
      <c r="Y118" s="31" cm="1">
        <f t="array" ref="Y118">IFERROR(_xlfn.XMATCH(TRUE, ISNUMBER(SEARCH($B$2:$B$201, C118))), 9999)</f>
        <v>59</v>
      </c>
      <c r="Z118" s="7"/>
      <c r="AA118" s="7" t="str">
        <v>강다연 2000/05/31</v>
      </c>
      <c r="AB118" s="7">
        <v>-1</v>
      </c>
      <c r="AC118" s="7">
        <v>2</v>
      </c>
      <c r="AD118" s="7">
        <v>1</v>
      </c>
      <c r="AE118">
        <v>1</v>
      </c>
      <c r="AF118">
        <v>2</v>
      </c>
      <c r="AG118">
        <v>0</v>
      </c>
      <c r="AH118">
        <v>1</v>
      </c>
      <c r="AI118">
        <v>1</v>
      </c>
      <c r="AJ118">
        <v>-1</v>
      </c>
      <c r="AK118">
        <v>0</v>
      </c>
      <c r="AL118">
        <v>2</v>
      </c>
      <c r="AM118">
        <v>1</v>
      </c>
      <c r="AN118">
        <v>0</v>
      </c>
      <c r="AO118">
        <v>2</v>
      </c>
      <c r="AP118">
        <v>1</v>
      </c>
      <c r="AQ118">
        <v>-1</v>
      </c>
      <c r="AR118">
        <v>2</v>
      </c>
      <c r="AS118">
        <v>1</v>
      </c>
      <c r="AT118">
        <v>26</v>
      </c>
      <c r="AU118" t="str">
        <v>N/A</v>
      </c>
      <c r="AV118">
        <v>-1</v>
      </c>
    </row>
    <row r="119" spans="1:48" ht="33.75" thickBot="1" x14ac:dyDescent="0.3">
      <c r="A119" s="25">
        <v>118</v>
      </c>
      <c r="B119" s="26" t="s">
        <v>259</v>
      </c>
      <c r="C119" s="23" t="s">
        <v>147</v>
      </c>
      <c r="D119" s="4">
        <v>-1</v>
      </c>
      <c r="E119" s="4">
        <v>1</v>
      </c>
      <c r="F119" s="4">
        <v>1</v>
      </c>
      <c r="G119" s="4">
        <v>1</v>
      </c>
      <c r="H119" s="4">
        <v>1</v>
      </c>
      <c r="I119" s="4">
        <v>-1</v>
      </c>
      <c r="J119" s="4">
        <v>1</v>
      </c>
      <c r="K119" s="4">
        <v>0</v>
      </c>
      <c r="L119" s="4">
        <v>1</v>
      </c>
      <c r="M119" s="4">
        <v>-1</v>
      </c>
      <c r="N119" s="4">
        <v>1</v>
      </c>
      <c r="O119" s="4">
        <v>-1</v>
      </c>
      <c r="P119" s="4">
        <v>1</v>
      </c>
      <c r="Q119" s="4">
        <v>0</v>
      </c>
      <c r="R119" s="4">
        <v>-1</v>
      </c>
      <c r="S119" s="4">
        <v>-2</v>
      </c>
      <c r="T119" s="4">
        <v>-1</v>
      </c>
      <c r="U119" s="4">
        <v>1</v>
      </c>
      <c r="V119" s="4" t="s">
        <v>144</v>
      </c>
      <c r="W119" s="4" t="s">
        <v>144</v>
      </c>
      <c r="X119" s="6">
        <v>1</v>
      </c>
      <c r="Y119" s="31" cm="1">
        <f t="array" ref="Y119">IFERROR(_xlfn.XMATCH(TRUE, ISNUMBER(SEARCH($B$2:$B$201, C119))), 9999)</f>
        <v>12</v>
      </c>
      <c r="Z119" s="7"/>
      <c r="AA119" s="7" t="str">
        <v>정지수,19970113</v>
      </c>
      <c r="AB119" s="7">
        <v>-1</v>
      </c>
      <c r="AC119" s="7">
        <v>2</v>
      </c>
      <c r="AD119" s="7">
        <v>1</v>
      </c>
      <c r="AE119">
        <v>2</v>
      </c>
      <c r="AF119">
        <v>2</v>
      </c>
      <c r="AG119">
        <v>-1</v>
      </c>
      <c r="AH119">
        <v>2</v>
      </c>
      <c r="AI119">
        <v>2</v>
      </c>
      <c r="AJ119">
        <v>1</v>
      </c>
      <c r="AK119">
        <v>-1</v>
      </c>
      <c r="AL119">
        <v>2</v>
      </c>
      <c r="AM119">
        <v>-1</v>
      </c>
      <c r="AN119">
        <v>1</v>
      </c>
      <c r="AO119">
        <v>-1</v>
      </c>
      <c r="AP119">
        <v>1</v>
      </c>
      <c r="AQ119">
        <v>0</v>
      </c>
      <c r="AR119">
        <v>0</v>
      </c>
      <c r="AS119">
        <v>0</v>
      </c>
      <c r="AT119" t="str">
        <v>N/A</v>
      </c>
      <c r="AU119" t="str">
        <v>N/A</v>
      </c>
      <c r="AV119">
        <v>1</v>
      </c>
    </row>
    <row r="120" spans="1:48" ht="27" thickBot="1" x14ac:dyDescent="0.3">
      <c r="A120" s="25">
        <v>119</v>
      </c>
      <c r="B120" s="26" t="s">
        <v>260</v>
      </c>
      <c r="C120" s="8" t="s">
        <v>121</v>
      </c>
      <c r="D120" s="8">
        <v>-1</v>
      </c>
      <c r="E120" s="8">
        <v>1</v>
      </c>
      <c r="F120" s="8">
        <v>1</v>
      </c>
      <c r="G120" s="8">
        <v>1</v>
      </c>
      <c r="H120" s="8">
        <v>-1</v>
      </c>
      <c r="I120" s="8">
        <v>-1</v>
      </c>
      <c r="J120" s="8">
        <v>0</v>
      </c>
      <c r="K120" s="8">
        <v>-1</v>
      </c>
      <c r="L120" s="8">
        <v>-1</v>
      </c>
      <c r="M120" s="8">
        <v>1</v>
      </c>
      <c r="N120" s="8">
        <v>1</v>
      </c>
      <c r="O120" s="8">
        <v>-1</v>
      </c>
      <c r="P120" s="8">
        <v>0</v>
      </c>
      <c r="Q120" s="8">
        <v>0</v>
      </c>
      <c r="R120" s="8">
        <v>-1</v>
      </c>
      <c r="S120" s="8">
        <v>-1</v>
      </c>
      <c r="T120" s="8">
        <v>0</v>
      </c>
      <c r="U120" s="8">
        <v>1</v>
      </c>
      <c r="V120" s="9">
        <v>24</v>
      </c>
      <c r="W120" s="9">
        <v>21</v>
      </c>
      <c r="X120" s="10">
        <v>1</v>
      </c>
      <c r="Y120" s="31" cm="1">
        <f t="array" ref="Y120">IFERROR(_xlfn.XMATCH(TRUE, ISNUMBER(SEARCH($B$2:$B$201, C120))), 9999)</f>
        <v>52</v>
      </c>
      <c r="Z120" s="7"/>
      <c r="AA120" s="7" t="str">
        <v>이지예 / 970912</v>
      </c>
      <c r="AB120" s="7">
        <v>-1</v>
      </c>
      <c r="AC120" s="7">
        <v>1</v>
      </c>
      <c r="AD120" s="7">
        <v>1</v>
      </c>
      <c r="AE120">
        <v>1</v>
      </c>
      <c r="AF120">
        <v>1</v>
      </c>
      <c r="AG120">
        <v>-1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-1</v>
      </c>
      <c r="AN120">
        <v>1</v>
      </c>
      <c r="AO120">
        <v>-1</v>
      </c>
      <c r="AP120">
        <v>1</v>
      </c>
      <c r="AQ120">
        <v>-1</v>
      </c>
      <c r="AR120">
        <v>1</v>
      </c>
      <c r="AS120">
        <v>1</v>
      </c>
      <c r="AT120">
        <v>24</v>
      </c>
      <c r="AU120">
        <v>20</v>
      </c>
      <c r="AV120">
        <v>1</v>
      </c>
    </row>
    <row r="121" spans="1:48" ht="39.75" thickBot="1" x14ac:dyDescent="0.3">
      <c r="A121" s="25">
        <v>120</v>
      </c>
      <c r="B121" s="26" t="s">
        <v>261</v>
      </c>
      <c r="C121" s="4" t="s">
        <v>122</v>
      </c>
      <c r="D121" s="4">
        <v>-1</v>
      </c>
      <c r="E121" s="4">
        <v>1</v>
      </c>
      <c r="F121" s="4">
        <v>0</v>
      </c>
      <c r="G121" s="4">
        <v>2</v>
      </c>
      <c r="H121" s="4">
        <v>0</v>
      </c>
      <c r="I121" s="4">
        <v>-1</v>
      </c>
      <c r="J121" s="4">
        <v>0</v>
      </c>
      <c r="K121" s="4">
        <v>0</v>
      </c>
      <c r="L121" s="4">
        <v>0</v>
      </c>
      <c r="M121" s="4">
        <v>-1</v>
      </c>
      <c r="N121" s="4">
        <v>1</v>
      </c>
      <c r="O121" s="4">
        <v>-1</v>
      </c>
      <c r="P121" s="4">
        <v>-1</v>
      </c>
      <c r="Q121" s="4">
        <v>-1</v>
      </c>
      <c r="R121" s="4">
        <v>-1</v>
      </c>
      <c r="S121" s="4">
        <v>-1</v>
      </c>
      <c r="T121" s="4">
        <v>-1</v>
      </c>
      <c r="U121" s="4">
        <v>0</v>
      </c>
      <c r="V121" s="4">
        <v>23</v>
      </c>
      <c r="W121" s="4" t="s">
        <v>144</v>
      </c>
      <c r="X121" s="6">
        <v>1</v>
      </c>
      <c r="Y121" s="31" cm="1">
        <f t="array" ref="Y121">IFERROR(_xlfn.XMATCH(TRUE, ISNUMBER(SEARCH($B$2:$B$201, C121))), 9999)</f>
        <v>16</v>
      </c>
      <c r="Z121" s="7"/>
      <c r="AA121" s="7" t="str">
        <v>조아윤 940123</v>
      </c>
      <c r="AB121" s="7">
        <v>0</v>
      </c>
      <c r="AC121" s="7">
        <v>1</v>
      </c>
      <c r="AD121" s="7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0</v>
      </c>
      <c r="AR121">
        <v>0</v>
      </c>
      <c r="AS121">
        <v>1</v>
      </c>
      <c r="AT121">
        <v>27</v>
      </c>
      <c r="AU121" t="str">
        <v>N/A</v>
      </c>
      <c r="AV121">
        <v>1</v>
      </c>
    </row>
    <row r="122" spans="1:48" ht="27" thickBot="1" x14ac:dyDescent="0.3">
      <c r="A122" s="25">
        <v>121</v>
      </c>
      <c r="B122" s="26" t="s">
        <v>262</v>
      </c>
      <c r="C122" s="8" t="s">
        <v>123</v>
      </c>
      <c r="D122" s="8">
        <v>-2</v>
      </c>
      <c r="E122" s="8">
        <v>1</v>
      </c>
      <c r="F122" s="8">
        <v>1</v>
      </c>
      <c r="G122" s="8">
        <v>1</v>
      </c>
      <c r="H122" s="8">
        <v>1</v>
      </c>
      <c r="I122" s="8">
        <v>0</v>
      </c>
      <c r="J122" s="8">
        <v>0</v>
      </c>
      <c r="K122" s="8">
        <v>0</v>
      </c>
      <c r="L122" s="8">
        <v>1</v>
      </c>
      <c r="M122" s="8">
        <v>1</v>
      </c>
      <c r="N122" s="8">
        <v>1</v>
      </c>
      <c r="O122" s="8">
        <v>0</v>
      </c>
      <c r="P122" s="8">
        <v>0</v>
      </c>
      <c r="Q122" s="8">
        <v>2</v>
      </c>
      <c r="R122" s="8">
        <v>0</v>
      </c>
      <c r="S122" s="8">
        <v>0</v>
      </c>
      <c r="T122" s="8">
        <v>0</v>
      </c>
      <c r="U122" s="8">
        <v>1</v>
      </c>
      <c r="V122" s="9">
        <v>22</v>
      </c>
      <c r="W122" s="8" t="s">
        <v>144</v>
      </c>
      <c r="X122" s="10">
        <v>1</v>
      </c>
      <c r="Y122" s="31" cm="1">
        <f t="array" ref="Y122">IFERROR(_xlfn.XMATCH(TRUE, ISNUMBER(SEARCH($B$2:$B$201, C122))), 9999)</f>
        <v>100</v>
      </c>
      <c r="Z122" s="7"/>
      <c r="AA122" s="7" t="str">
        <v>김주헌, 2000년 10월 18일</v>
      </c>
      <c r="AB122" s="7">
        <v>-1</v>
      </c>
      <c r="AC122" s="7">
        <v>-1</v>
      </c>
      <c r="AD122" s="7">
        <v>1</v>
      </c>
      <c r="AE122">
        <v>2</v>
      </c>
      <c r="AF122">
        <v>1</v>
      </c>
      <c r="AG122">
        <v>-2</v>
      </c>
      <c r="AH122">
        <v>-1</v>
      </c>
      <c r="AI122">
        <v>-1</v>
      </c>
      <c r="AJ122">
        <v>-1</v>
      </c>
      <c r="AK122">
        <v>1</v>
      </c>
      <c r="AL122">
        <v>2</v>
      </c>
      <c r="AM122">
        <v>1</v>
      </c>
      <c r="AN122">
        <v>-1</v>
      </c>
      <c r="AO122">
        <v>0</v>
      </c>
      <c r="AP122">
        <v>-1</v>
      </c>
      <c r="AQ122">
        <v>-2</v>
      </c>
      <c r="AR122">
        <v>-2</v>
      </c>
      <c r="AS122">
        <v>1</v>
      </c>
      <c r="AT122" t="str">
        <v>N/A</v>
      </c>
      <c r="AU122" t="str">
        <v>N/A</v>
      </c>
      <c r="AV122">
        <v>1</v>
      </c>
    </row>
    <row r="123" spans="1:48" ht="27" thickBot="1" x14ac:dyDescent="0.3">
      <c r="A123" s="25">
        <v>122</v>
      </c>
      <c r="B123" s="30" t="s">
        <v>263</v>
      </c>
      <c r="C123" s="4" t="s">
        <v>124</v>
      </c>
      <c r="D123" s="4">
        <v>-1</v>
      </c>
      <c r="E123" s="4">
        <v>0</v>
      </c>
      <c r="F123" s="4">
        <v>1</v>
      </c>
      <c r="G123" s="4">
        <v>1</v>
      </c>
      <c r="H123" s="4">
        <v>1</v>
      </c>
      <c r="I123" s="4">
        <v>-1</v>
      </c>
      <c r="J123" s="4">
        <v>0</v>
      </c>
      <c r="K123" s="4">
        <v>0</v>
      </c>
      <c r="L123" s="4">
        <v>-1</v>
      </c>
      <c r="M123" s="4">
        <v>1</v>
      </c>
      <c r="N123" s="4">
        <v>1</v>
      </c>
      <c r="O123" s="4">
        <v>-1</v>
      </c>
      <c r="P123" s="4">
        <v>-1</v>
      </c>
      <c r="Q123" s="4">
        <v>0</v>
      </c>
      <c r="R123" s="4">
        <v>-1</v>
      </c>
      <c r="S123" s="4">
        <v>-1</v>
      </c>
      <c r="T123" s="4">
        <v>-1</v>
      </c>
      <c r="U123" s="4">
        <v>-1</v>
      </c>
      <c r="V123" s="4" t="s">
        <v>144</v>
      </c>
      <c r="W123" s="4" t="s">
        <v>144</v>
      </c>
      <c r="X123" s="6">
        <v>1</v>
      </c>
      <c r="Y123" s="31" cm="1">
        <f t="array" ref="Y123">IFERROR(_xlfn.XMATCH(TRUE, ISNUMBER(SEARCH($B$2:$B$201, C123))), 9999)</f>
        <v>60</v>
      </c>
      <c r="Z123" s="7"/>
      <c r="AA123" s="7" t="str">
        <v>안종백 920912</v>
      </c>
      <c r="AB123" s="7">
        <v>-2</v>
      </c>
      <c r="AC123" s="7">
        <v>2</v>
      </c>
      <c r="AD123" s="7">
        <v>2</v>
      </c>
      <c r="AE123">
        <v>2</v>
      </c>
      <c r="AF123">
        <v>1</v>
      </c>
      <c r="AG123">
        <v>-2</v>
      </c>
      <c r="AH123">
        <v>0</v>
      </c>
      <c r="AI123">
        <v>-2</v>
      </c>
      <c r="AJ123">
        <v>-2</v>
      </c>
      <c r="AK123">
        <v>-2</v>
      </c>
      <c r="AL123">
        <v>2</v>
      </c>
      <c r="AM123">
        <v>-2</v>
      </c>
      <c r="AN123">
        <v>-2</v>
      </c>
      <c r="AO123">
        <v>-2</v>
      </c>
      <c r="AP123">
        <v>-2</v>
      </c>
      <c r="AQ123">
        <v>-2</v>
      </c>
      <c r="AR123">
        <v>-2</v>
      </c>
      <c r="AS123">
        <v>2</v>
      </c>
      <c r="AT123">
        <v>24</v>
      </c>
      <c r="AU123">
        <v>20</v>
      </c>
      <c r="AV123">
        <v>-1</v>
      </c>
    </row>
    <row r="124" spans="1:48" ht="27" thickBot="1" x14ac:dyDescent="0.3">
      <c r="A124" s="25">
        <v>123</v>
      </c>
      <c r="B124" s="26" t="s">
        <v>264</v>
      </c>
      <c r="C124" s="8" t="s">
        <v>125</v>
      </c>
      <c r="D124" s="8">
        <v>0</v>
      </c>
      <c r="E124" s="8">
        <v>1</v>
      </c>
      <c r="F124" s="8">
        <v>1</v>
      </c>
      <c r="G124" s="8">
        <v>1</v>
      </c>
      <c r="H124" s="8">
        <v>1</v>
      </c>
      <c r="I124" s="8">
        <v>-2</v>
      </c>
      <c r="J124" s="8">
        <v>0</v>
      </c>
      <c r="K124" s="8">
        <v>1</v>
      </c>
      <c r="L124" s="8">
        <v>-2</v>
      </c>
      <c r="M124" s="8">
        <v>1</v>
      </c>
      <c r="N124" s="8">
        <v>1</v>
      </c>
      <c r="O124" s="8">
        <v>-2</v>
      </c>
      <c r="P124" s="8">
        <v>-2</v>
      </c>
      <c r="Q124" s="8">
        <v>-2</v>
      </c>
      <c r="R124" s="8">
        <v>0</v>
      </c>
      <c r="S124" s="8">
        <v>-2</v>
      </c>
      <c r="T124" s="8">
        <v>-2</v>
      </c>
      <c r="U124" s="8">
        <v>0</v>
      </c>
      <c r="V124" s="9">
        <v>25</v>
      </c>
      <c r="W124" s="9">
        <v>23</v>
      </c>
      <c r="X124" s="10">
        <v>-2</v>
      </c>
      <c r="Y124" s="31" cm="1">
        <f t="array" ref="Y124">IFERROR(_xlfn.XMATCH(TRUE, ISNUMBER(SEARCH($B$2:$B$201, C124))), 9999)</f>
        <v>68</v>
      </c>
      <c r="Z124" s="7"/>
      <c r="AA124" s="7" t="str">
        <v>전종률 990612</v>
      </c>
      <c r="AB124" s="7">
        <v>-1</v>
      </c>
      <c r="AC124" s="7">
        <v>1</v>
      </c>
      <c r="AD124" s="7">
        <v>1</v>
      </c>
      <c r="AE124">
        <v>1</v>
      </c>
      <c r="AF124">
        <v>1</v>
      </c>
      <c r="AG124">
        <v>-1</v>
      </c>
      <c r="AH124">
        <v>2</v>
      </c>
      <c r="AI124">
        <v>0</v>
      </c>
      <c r="AJ124">
        <v>1</v>
      </c>
      <c r="AK124">
        <v>0</v>
      </c>
      <c r="AL124">
        <v>1</v>
      </c>
      <c r="AM124">
        <v>-1</v>
      </c>
      <c r="AN124">
        <v>1</v>
      </c>
      <c r="AO124">
        <v>-1</v>
      </c>
      <c r="AP124">
        <v>1</v>
      </c>
      <c r="AQ124">
        <v>-1</v>
      </c>
      <c r="AR124">
        <v>1</v>
      </c>
      <c r="AS124">
        <v>1</v>
      </c>
      <c r="AT124">
        <v>23</v>
      </c>
      <c r="AU124" t="str">
        <v>N/A</v>
      </c>
      <c r="AV124">
        <v>-1</v>
      </c>
    </row>
    <row r="125" spans="1:48" ht="27" thickBot="1" x14ac:dyDescent="0.3">
      <c r="A125" s="25">
        <v>124</v>
      </c>
      <c r="B125" s="26" t="s">
        <v>265</v>
      </c>
      <c r="C125" s="23" t="s">
        <v>290</v>
      </c>
      <c r="D125" s="4">
        <v>-1</v>
      </c>
      <c r="E125" s="4">
        <v>1</v>
      </c>
      <c r="F125" s="4">
        <v>1</v>
      </c>
      <c r="G125" s="4">
        <v>2</v>
      </c>
      <c r="H125" s="4">
        <v>1</v>
      </c>
      <c r="I125" s="4">
        <v>2</v>
      </c>
      <c r="J125" s="4">
        <v>0</v>
      </c>
      <c r="K125" s="4">
        <v>-1</v>
      </c>
      <c r="L125" s="4">
        <v>1</v>
      </c>
      <c r="M125" s="4">
        <v>0</v>
      </c>
      <c r="N125" s="4">
        <v>1</v>
      </c>
      <c r="O125" s="4">
        <v>1</v>
      </c>
      <c r="P125" s="4">
        <v>0</v>
      </c>
      <c r="Q125" s="4">
        <v>1</v>
      </c>
      <c r="R125" s="4">
        <v>-2</v>
      </c>
      <c r="S125" s="4">
        <v>0</v>
      </c>
      <c r="T125" s="4">
        <v>1</v>
      </c>
      <c r="U125" s="4">
        <v>0</v>
      </c>
      <c r="V125" s="5">
        <v>22</v>
      </c>
      <c r="W125" s="5">
        <v>24</v>
      </c>
      <c r="X125" s="6">
        <v>1</v>
      </c>
      <c r="Y125" s="31" cm="1">
        <f t="array" ref="Y125">IFERROR(_xlfn.XMATCH(TRUE, ISNUMBER(SEARCH($B$2:$B$201, C125))), 9999)</f>
        <v>20</v>
      </c>
      <c r="Z125" s="7"/>
      <c r="AA125" s="7" t="str">
        <v>박태원 / 2000.09.17</v>
      </c>
      <c r="AB125" s="7">
        <v>-1</v>
      </c>
      <c r="AC125" s="7">
        <v>1</v>
      </c>
      <c r="AD125" s="7">
        <v>1</v>
      </c>
      <c r="AE125">
        <v>2</v>
      </c>
      <c r="AF125">
        <v>1</v>
      </c>
      <c r="AG125">
        <v>-1</v>
      </c>
      <c r="AH125">
        <v>1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1</v>
      </c>
      <c r="AP125">
        <v>0</v>
      </c>
      <c r="AQ125">
        <v>1</v>
      </c>
      <c r="AR125">
        <v>-1</v>
      </c>
      <c r="AS125">
        <v>1</v>
      </c>
      <c r="AT125">
        <v>25</v>
      </c>
      <c r="AU125" t="str">
        <v>N/A</v>
      </c>
      <c r="AV125">
        <v>1</v>
      </c>
    </row>
    <row r="126" spans="1:48" ht="27" thickBot="1" x14ac:dyDescent="0.3">
      <c r="A126" s="25">
        <v>125</v>
      </c>
      <c r="B126" s="26" t="s">
        <v>266</v>
      </c>
      <c r="C126" s="8" t="s">
        <v>126</v>
      </c>
      <c r="D126" s="8">
        <v>-2</v>
      </c>
      <c r="E126" s="8">
        <v>1</v>
      </c>
      <c r="F126" s="8">
        <v>1</v>
      </c>
      <c r="G126" s="8">
        <v>2</v>
      </c>
      <c r="H126" s="8">
        <v>1</v>
      </c>
      <c r="I126" s="8">
        <v>-1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-1</v>
      </c>
      <c r="P126" s="8">
        <v>0</v>
      </c>
      <c r="Q126" s="8">
        <v>0</v>
      </c>
      <c r="R126" s="8">
        <v>-1</v>
      </c>
      <c r="S126" s="8">
        <v>-2</v>
      </c>
      <c r="T126" s="8">
        <v>-1</v>
      </c>
      <c r="U126" s="8">
        <v>0</v>
      </c>
      <c r="V126" s="8">
        <v>23</v>
      </c>
      <c r="W126" s="8">
        <v>23</v>
      </c>
      <c r="X126" s="10">
        <v>-1</v>
      </c>
      <c r="Y126" s="31" cm="1">
        <f t="array" ref="Y126">IFERROR(_xlfn.XMATCH(TRUE, ISNUMBER(SEARCH($B$2:$B$201, C126))), 9999)</f>
        <v>56</v>
      </c>
      <c r="Z126" s="7"/>
      <c r="AA126" s="7" t="str">
        <v>정겸비 / 020612</v>
      </c>
      <c r="AB126" s="7">
        <v>-1</v>
      </c>
      <c r="AC126" s="7">
        <v>1</v>
      </c>
      <c r="AD126" s="7">
        <v>0</v>
      </c>
      <c r="AE126">
        <v>2</v>
      </c>
      <c r="AF126">
        <v>2</v>
      </c>
      <c r="AG126">
        <v>-1</v>
      </c>
      <c r="AH126">
        <v>-2</v>
      </c>
      <c r="AI126">
        <v>1</v>
      </c>
      <c r="AJ126">
        <v>-1</v>
      </c>
      <c r="AK126">
        <v>-1</v>
      </c>
      <c r="AL126">
        <v>1</v>
      </c>
      <c r="AM126">
        <v>-1</v>
      </c>
      <c r="AN126">
        <v>-1</v>
      </c>
      <c r="AO126">
        <v>1</v>
      </c>
      <c r="AP126">
        <v>-1</v>
      </c>
      <c r="AQ126">
        <v>-1</v>
      </c>
      <c r="AR126">
        <v>-1</v>
      </c>
      <c r="AS126">
        <v>1</v>
      </c>
      <c r="AT126" t="str">
        <v>N/A</v>
      </c>
      <c r="AU126" t="str">
        <v>N/A</v>
      </c>
      <c r="AV126">
        <v>-1</v>
      </c>
    </row>
    <row r="127" spans="1:48" ht="33.75" thickBot="1" x14ac:dyDescent="0.3">
      <c r="A127" s="25">
        <v>126</v>
      </c>
      <c r="B127" s="26" t="s">
        <v>267</v>
      </c>
      <c r="C127" s="23" t="s">
        <v>153</v>
      </c>
      <c r="D127" s="4">
        <v>0</v>
      </c>
      <c r="E127" s="4">
        <v>2</v>
      </c>
      <c r="F127" s="4">
        <v>2</v>
      </c>
      <c r="G127" s="4">
        <v>2</v>
      </c>
      <c r="H127" s="4">
        <v>1</v>
      </c>
      <c r="I127" s="4">
        <v>0</v>
      </c>
      <c r="J127" s="4">
        <v>-1</v>
      </c>
      <c r="K127" s="4">
        <v>1</v>
      </c>
      <c r="L127" s="4">
        <v>-1</v>
      </c>
      <c r="M127" s="4">
        <v>1</v>
      </c>
      <c r="N127" s="4">
        <v>2</v>
      </c>
      <c r="O127" s="4">
        <v>-2</v>
      </c>
      <c r="P127" s="4">
        <v>-1</v>
      </c>
      <c r="Q127" s="4">
        <v>-2</v>
      </c>
      <c r="R127" s="4">
        <v>-2</v>
      </c>
      <c r="S127" s="4">
        <v>-1</v>
      </c>
      <c r="T127" s="4">
        <v>-1</v>
      </c>
      <c r="U127" s="4">
        <v>2</v>
      </c>
      <c r="V127" s="4" t="s">
        <v>144</v>
      </c>
      <c r="W127" s="4" t="s">
        <v>144</v>
      </c>
      <c r="X127" s="6">
        <v>0</v>
      </c>
      <c r="Y127" s="31" cm="1">
        <f t="array" ref="Y127">IFERROR(_xlfn.XMATCH(TRUE, ISNUMBER(SEARCH($B$2:$B$201, C127))), 9999)</f>
        <v>35</v>
      </c>
      <c r="Z127" s="7"/>
      <c r="AA127" s="7" t="str">
        <v>심혜원 2003.03.10</v>
      </c>
      <c r="AB127" s="7">
        <v>-2</v>
      </c>
      <c r="AC127" s="7">
        <v>2</v>
      </c>
      <c r="AD127" s="7">
        <v>2</v>
      </c>
      <c r="AE127">
        <v>2</v>
      </c>
      <c r="AF127">
        <v>1</v>
      </c>
      <c r="AG127">
        <v>-2</v>
      </c>
      <c r="AH127">
        <v>1</v>
      </c>
      <c r="AI127">
        <v>1</v>
      </c>
      <c r="AJ127">
        <v>1</v>
      </c>
      <c r="AK127">
        <v>0</v>
      </c>
      <c r="AL127">
        <v>1</v>
      </c>
      <c r="AM127">
        <v>-1</v>
      </c>
      <c r="AN127">
        <v>0</v>
      </c>
      <c r="AO127">
        <v>-1</v>
      </c>
      <c r="AP127">
        <v>0</v>
      </c>
      <c r="AQ127">
        <v>-1</v>
      </c>
      <c r="AR127">
        <v>1</v>
      </c>
      <c r="AS127">
        <v>1</v>
      </c>
      <c r="AT127">
        <v>24</v>
      </c>
      <c r="AU127">
        <v>24</v>
      </c>
      <c r="AV127">
        <v>0</v>
      </c>
    </row>
    <row r="128" spans="1:48" ht="30" thickBot="1" x14ac:dyDescent="0.3">
      <c r="A128" s="25">
        <v>127</v>
      </c>
      <c r="B128" s="26" t="s">
        <v>268</v>
      </c>
      <c r="C128" s="22" t="s">
        <v>154</v>
      </c>
      <c r="D128" s="8">
        <v>-1</v>
      </c>
      <c r="E128" s="8">
        <v>2</v>
      </c>
      <c r="F128" s="8">
        <v>2</v>
      </c>
      <c r="G128" s="8">
        <v>2</v>
      </c>
      <c r="H128" s="8">
        <v>0</v>
      </c>
      <c r="I128" s="8">
        <v>-1</v>
      </c>
      <c r="J128" s="8">
        <v>0</v>
      </c>
      <c r="K128" s="8">
        <v>-1</v>
      </c>
      <c r="L128" s="8">
        <v>0</v>
      </c>
      <c r="M128" s="8">
        <v>-2</v>
      </c>
      <c r="N128" s="8">
        <v>2</v>
      </c>
      <c r="O128" s="8">
        <v>-1</v>
      </c>
      <c r="P128" s="8">
        <v>0</v>
      </c>
      <c r="Q128" s="8">
        <v>-2</v>
      </c>
      <c r="R128" s="8">
        <v>2</v>
      </c>
      <c r="S128" s="8">
        <v>-2</v>
      </c>
      <c r="T128" s="8">
        <v>-1</v>
      </c>
      <c r="U128" s="8">
        <v>1</v>
      </c>
      <c r="V128" s="9">
        <v>22</v>
      </c>
      <c r="W128" s="9">
        <v>24</v>
      </c>
      <c r="X128" s="10">
        <v>2</v>
      </c>
      <c r="Y128" s="31" cm="1">
        <f t="array" ref="Y128">IFERROR(_xlfn.XMATCH(TRUE, ISNUMBER(SEARCH($B$2:$B$201, C128))), 9999)</f>
        <v>36</v>
      </c>
      <c r="Z128" s="7"/>
      <c r="AA128" s="7" t="str">
        <v>최휘연 011113</v>
      </c>
      <c r="AB128" s="7">
        <v>-2</v>
      </c>
      <c r="AC128" s="7">
        <v>2</v>
      </c>
      <c r="AD128" s="7">
        <v>2</v>
      </c>
      <c r="AE128">
        <v>2</v>
      </c>
      <c r="AF128">
        <v>1</v>
      </c>
      <c r="AG128">
        <v>-2</v>
      </c>
      <c r="AH128">
        <v>1</v>
      </c>
      <c r="AI128">
        <v>1</v>
      </c>
      <c r="AJ128">
        <v>-2</v>
      </c>
      <c r="AK128">
        <v>-2</v>
      </c>
      <c r="AL128">
        <v>2</v>
      </c>
      <c r="AM128">
        <v>-2</v>
      </c>
      <c r="AN128">
        <v>1</v>
      </c>
      <c r="AO128">
        <v>-1</v>
      </c>
      <c r="AP128">
        <v>-1</v>
      </c>
      <c r="AQ128">
        <v>-2</v>
      </c>
      <c r="AR128">
        <v>-1</v>
      </c>
      <c r="AS128">
        <v>2</v>
      </c>
      <c r="AT128">
        <v>26</v>
      </c>
      <c r="AU128" t="str">
        <v>N/A</v>
      </c>
      <c r="AV128">
        <v>-2</v>
      </c>
    </row>
    <row r="129" spans="1:48" ht="27" thickBot="1" x14ac:dyDescent="0.3">
      <c r="A129" s="25">
        <v>128</v>
      </c>
      <c r="B129" s="26" t="s">
        <v>269</v>
      </c>
      <c r="C129" s="4" t="s">
        <v>127</v>
      </c>
      <c r="D129" s="4">
        <v>-1</v>
      </c>
      <c r="E129" s="4">
        <v>1</v>
      </c>
      <c r="F129" s="4">
        <v>1</v>
      </c>
      <c r="G129" s="4">
        <v>1</v>
      </c>
      <c r="H129" s="4">
        <v>1</v>
      </c>
      <c r="I129" s="4">
        <v>-1</v>
      </c>
      <c r="J129" s="4">
        <v>1</v>
      </c>
      <c r="K129" s="4">
        <v>-1</v>
      </c>
      <c r="L129" s="4">
        <v>-1</v>
      </c>
      <c r="M129" s="4">
        <v>-2</v>
      </c>
      <c r="N129" s="4">
        <v>1</v>
      </c>
      <c r="O129" s="4">
        <v>-2</v>
      </c>
      <c r="P129" s="4">
        <v>0</v>
      </c>
      <c r="Q129" s="4">
        <v>-1</v>
      </c>
      <c r="R129" s="4">
        <v>1</v>
      </c>
      <c r="S129" s="4">
        <v>-2</v>
      </c>
      <c r="T129" s="4">
        <v>-1</v>
      </c>
      <c r="U129" s="4">
        <v>1</v>
      </c>
      <c r="V129" s="5">
        <v>24</v>
      </c>
      <c r="W129" s="5">
        <v>40</v>
      </c>
      <c r="X129" s="6">
        <v>-1</v>
      </c>
      <c r="Y129" s="31" cm="1">
        <f t="array" ref="Y129">IFERROR(_xlfn.XMATCH(TRUE, ISNUMBER(SEARCH($B$2:$B$201, C129))), 9999)</f>
        <v>93</v>
      </c>
      <c r="Z129" s="7"/>
      <c r="AA129" s="7" t="str">
        <v>장지은, 2001.05.02</v>
      </c>
      <c r="AB129" s="7">
        <v>2</v>
      </c>
      <c r="AC129" s="7">
        <v>1</v>
      </c>
      <c r="AD129" s="7">
        <v>1</v>
      </c>
      <c r="AE129">
        <v>1</v>
      </c>
      <c r="AF129">
        <v>0</v>
      </c>
      <c r="AG129">
        <v>-2</v>
      </c>
      <c r="AH129">
        <v>0</v>
      </c>
      <c r="AI129">
        <v>-1</v>
      </c>
      <c r="AJ129">
        <v>-2</v>
      </c>
      <c r="AK129">
        <v>2</v>
      </c>
      <c r="AL129">
        <v>1</v>
      </c>
      <c r="AM129">
        <v>0</v>
      </c>
      <c r="AN129">
        <v>-2</v>
      </c>
      <c r="AO129">
        <v>1</v>
      </c>
      <c r="AP129">
        <v>-2</v>
      </c>
      <c r="AQ129">
        <v>-2</v>
      </c>
      <c r="AR129">
        <v>-2</v>
      </c>
      <c r="AS129">
        <v>1</v>
      </c>
      <c r="AT129">
        <v>27</v>
      </c>
      <c r="AU129" t="str">
        <v>N/A</v>
      </c>
      <c r="AV129">
        <v>1</v>
      </c>
    </row>
    <row r="130" spans="1:48" ht="27" thickBot="1" x14ac:dyDescent="0.3">
      <c r="C130" s="8" t="s">
        <v>128</v>
      </c>
      <c r="D130" s="8">
        <v>-2</v>
      </c>
      <c r="E130" s="8">
        <v>2</v>
      </c>
      <c r="F130" s="8">
        <v>2</v>
      </c>
      <c r="G130" s="8">
        <v>2</v>
      </c>
      <c r="H130" s="8">
        <v>2</v>
      </c>
      <c r="I130" s="8">
        <v>-2</v>
      </c>
      <c r="J130" s="8">
        <v>2</v>
      </c>
      <c r="K130" s="8">
        <v>-2</v>
      </c>
      <c r="L130" s="8">
        <v>-2</v>
      </c>
      <c r="M130" s="8">
        <v>0</v>
      </c>
      <c r="N130" s="8">
        <v>2</v>
      </c>
      <c r="O130" s="8">
        <v>-2</v>
      </c>
      <c r="P130" s="8">
        <v>-2</v>
      </c>
      <c r="Q130" s="8">
        <v>0</v>
      </c>
      <c r="R130" s="8">
        <v>-1</v>
      </c>
      <c r="S130" s="8">
        <v>-2</v>
      </c>
      <c r="T130" s="8">
        <v>-2</v>
      </c>
      <c r="U130" s="8">
        <v>1</v>
      </c>
      <c r="V130" s="9">
        <v>25</v>
      </c>
      <c r="W130" s="9">
        <v>20</v>
      </c>
      <c r="X130" s="10">
        <v>1</v>
      </c>
      <c r="Y130" s="31" cm="1">
        <f t="array" ref="Y130">IFERROR(_xlfn.XMATCH(TRUE, ISNUMBER(SEARCH($B$2:$B$201, C130))), 9999)</f>
        <v>44</v>
      </c>
      <c r="Z130" s="7"/>
      <c r="AA130" s="7" t="str">
        <v>김단아 2001.05.15</v>
      </c>
      <c r="AB130" s="7">
        <v>-1</v>
      </c>
      <c r="AC130" s="7">
        <v>1</v>
      </c>
      <c r="AD130" s="7">
        <v>1</v>
      </c>
      <c r="AE130">
        <v>2</v>
      </c>
      <c r="AF130">
        <v>1</v>
      </c>
      <c r="AG130">
        <v>-1</v>
      </c>
      <c r="AH130">
        <v>1</v>
      </c>
      <c r="AI130">
        <v>1</v>
      </c>
      <c r="AJ130">
        <v>-1</v>
      </c>
      <c r="AK130">
        <v>-1</v>
      </c>
      <c r="AL130">
        <v>1</v>
      </c>
      <c r="AM130">
        <v>0</v>
      </c>
      <c r="AN130">
        <v>-1</v>
      </c>
      <c r="AO130">
        <v>-1</v>
      </c>
      <c r="AP130">
        <v>0</v>
      </c>
      <c r="AQ130">
        <v>-1</v>
      </c>
      <c r="AR130">
        <v>-1</v>
      </c>
      <c r="AS130">
        <v>1</v>
      </c>
      <c r="AT130">
        <v>25</v>
      </c>
      <c r="AU130" t="str">
        <v>N/A</v>
      </c>
      <c r="AV130">
        <v>1</v>
      </c>
    </row>
    <row r="131" spans="1:48" ht="26.25" thickBot="1" x14ac:dyDescent="0.3">
      <c r="A131" s="7"/>
      <c r="B131" s="7"/>
      <c r="C131" s="4" t="s">
        <v>129</v>
      </c>
      <c r="D131" s="4">
        <v>1</v>
      </c>
      <c r="E131" s="4">
        <v>-1</v>
      </c>
      <c r="F131" s="4">
        <v>-1</v>
      </c>
      <c r="G131" s="4">
        <v>-1</v>
      </c>
      <c r="H131" s="4">
        <v>-1</v>
      </c>
      <c r="I131" s="4">
        <v>-1</v>
      </c>
      <c r="J131" s="4">
        <v>-1</v>
      </c>
      <c r="K131" s="4">
        <v>-1</v>
      </c>
      <c r="L131" s="4">
        <v>-1</v>
      </c>
      <c r="M131" s="4">
        <v>-1</v>
      </c>
      <c r="N131" s="4">
        <v>-1</v>
      </c>
      <c r="O131" s="4">
        <v>1</v>
      </c>
      <c r="P131" s="4">
        <v>-1</v>
      </c>
      <c r="Q131" s="4">
        <v>-1</v>
      </c>
      <c r="R131" s="4">
        <v>-1</v>
      </c>
      <c r="S131" s="4">
        <v>1</v>
      </c>
      <c r="T131" s="4">
        <v>-1</v>
      </c>
      <c r="U131" s="4">
        <v>-1</v>
      </c>
      <c r="V131" s="4" t="s">
        <v>144</v>
      </c>
      <c r="W131" s="5">
        <v>24</v>
      </c>
      <c r="X131" s="6">
        <v>1</v>
      </c>
      <c r="Y131" s="31" cm="1">
        <f t="array" ref="Y131">IFERROR(_xlfn.XMATCH(TRUE, ISNUMBER(SEARCH($B$2:$B$201, C131))), 9999)</f>
        <v>28</v>
      </c>
      <c r="Z131" s="7"/>
      <c r="AA131" s="7" t="str">
        <v>최은지, 20020103</v>
      </c>
      <c r="AB131" s="7">
        <v>-2</v>
      </c>
      <c r="AC131" s="7">
        <v>1</v>
      </c>
      <c r="AD131" s="7">
        <v>1</v>
      </c>
      <c r="AE131">
        <v>1</v>
      </c>
      <c r="AF131">
        <v>1</v>
      </c>
      <c r="AG131">
        <v>-1</v>
      </c>
      <c r="AH131">
        <v>1</v>
      </c>
      <c r="AI131">
        <v>1</v>
      </c>
      <c r="AJ131">
        <v>0</v>
      </c>
      <c r="AK131">
        <v>-1</v>
      </c>
      <c r="AL131">
        <v>1</v>
      </c>
      <c r="AM131">
        <v>0</v>
      </c>
      <c r="AN131">
        <v>1</v>
      </c>
      <c r="AO131">
        <v>0</v>
      </c>
      <c r="AP131">
        <v>-1</v>
      </c>
      <c r="AQ131">
        <v>-2</v>
      </c>
      <c r="AR131">
        <v>0</v>
      </c>
      <c r="AS131">
        <v>1</v>
      </c>
      <c r="AT131">
        <v>27</v>
      </c>
      <c r="AU131" t="str">
        <v>N/A</v>
      </c>
      <c r="AV131">
        <v>1</v>
      </c>
    </row>
    <row r="132" spans="1:48" ht="39" thickBot="1" x14ac:dyDescent="0.3">
      <c r="A132" s="7"/>
      <c r="B132" s="7"/>
      <c r="C132" s="8" t="s">
        <v>130</v>
      </c>
      <c r="D132" s="8">
        <v>-2</v>
      </c>
      <c r="E132" s="8">
        <v>0</v>
      </c>
      <c r="F132" s="8">
        <v>-1</v>
      </c>
      <c r="G132" s="8">
        <v>2</v>
      </c>
      <c r="H132" s="8">
        <v>-1</v>
      </c>
      <c r="I132" s="8">
        <v>-1</v>
      </c>
      <c r="J132" s="8">
        <v>1</v>
      </c>
      <c r="K132" s="8">
        <v>-1</v>
      </c>
      <c r="L132" s="8">
        <v>-1</v>
      </c>
      <c r="M132" s="8">
        <v>-1</v>
      </c>
      <c r="N132" s="8">
        <v>2</v>
      </c>
      <c r="O132" s="8">
        <v>-1</v>
      </c>
      <c r="P132" s="8">
        <v>-1</v>
      </c>
      <c r="Q132" s="8">
        <v>1</v>
      </c>
      <c r="R132" s="8">
        <v>0</v>
      </c>
      <c r="S132" s="8">
        <v>-2</v>
      </c>
      <c r="T132" s="8">
        <v>-2</v>
      </c>
      <c r="U132" s="8">
        <v>1</v>
      </c>
      <c r="V132" s="8" t="s">
        <v>131</v>
      </c>
      <c r="W132" s="9">
        <v>24</v>
      </c>
      <c r="X132" s="10">
        <v>0</v>
      </c>
      <c r="Y132" s="31" cm="1">
        <f t="array" ref="Y132">IFERROR(_xlfn.XMATCH(TRUE, ISNUMBER(SEARCH($B$2:$B$201, C132))), 9999)</f>
        <v>4</v>
      </c>
      <c r="Z132" s="7"/>
      <c r="AA132" s="7" t="str">
        <v>정주원 / 2001.03.31</v>
      </c>
      <c r="AB132" s="7">
        <v>-1</v>
      </c>
      <c r="AC132" s="7">
        <v>1</v>
      </c>
      <c r="AD132" s="7">
        <v>-1</v>
      </c>
      <c r="AE132">
        <v>2</v>
      </c>
      <c r="AF132">
        <v>1</v>
      </c>
      <c r="AG132">
        <v>1</v>
      </c>
      <c r="AH132">
        <v>0</v>
      </c>
      <c r="AI132">
        <v>1</v>
      </c>
      <c r="AJ132">
        <v>1</v>
      </c>
      <c r="AK132">
        <v>-1</v>
      </c>
      <c r="AL132">
        <v>1</v>
      </c>
      <c r="AM132">
        <v>0</v>
      </c>
      <c r="AN132">
        <v>1</v>
      </c>
      <c r="AO132">
        <v>1</v>
      </c>
      <c r="AP132">
        <v>-1</v>
      </c>
      <c r="AQ132">
        <v>1</v>
      </c>
      <c r="AR132">
        <v>-1</v>
      </c>
      <c r="AS132">
        <v>1</v>
      </c>
      <c r="AT132">
        <v>25</v>
      </c>
      <c r="AU132">
        <v>21</v>
      </c>
      <c r="AV132">
        <v>1</v>
      </c>
    </row>
    <row r="133" spans="1:48" ht="26.25" thickBot="1" x14ac:dyDescent="0.3">
      <c r="A133" s="7"/>
      <c r="B133" s="7"/>
      <c r="C133" s="4" t="s">
        <v>132</v>
      </c>
      <c r="D133" s="4">
        <v>0</v>
      </c>
      <c r="E133" s="4">
        <v>2</v>
      </c>
      <c r="F133" s="4">
        <v>0</v>
      </c>
      <c r="G133" s="4">
        <v>2</v>
      </c>
      <c r="H133" s="4">
        <v>2</v>
      </c>
      <c r="I133" s="4">
        <v>2</v>
      </c>
      <c r="J133" s="4">
        <v>2</v>
      </c>
      <c r="K133" s="4">
        <v>2</v>
      </c>
      <c r="L133" s="4">
        <v>1</v>
      </c>
      <c r="M133" s="4">
        <v>2</v>
      </c>
      <c r="N133" s="4">
        <v>2</v>
      </c>
      <c r="O133" s="4">
        <v>-1</v>
      </c>
      <c r="P133" s="4">
        <v>0</v>
      </c>
      <c r="Q133" s="4">
        <v>1</v>
      </c>
      <c r="R133" s="4">
        <v>2</v>
      </c>
      <c r="S133" s="4">
        <v>-1</v>
      </c>
      <c r="T133" s="4">
        <v>-1</v>
      </c>
      <c r="U133" s="4">
        <v>2</v>
      </c>
      <c r="V133" s="5">
        <v>24</v>
      </c>
      <c r="W133" s="5">
        <v>26</v>
      </c>
      <c r="X133" s="6">
        <v>1</v>
      </c>
      <c r="Y133" s="31" cm="1">
        <f t="array" ref="Y133">IFERROR(_xlfn.XMATCH(TRUE, ISNUMBER(SEARCH($B$2:$B$201, C133))), 9999)</f>
        <v>72</v>
      </c>
      <c r="Z133" s="7"/>
      <c r="AA133" s="7" t="str">
        <v>정병민 20010719</v>
      </c>
      <c r="AB133" s="7">
        <v>-2</v>
      </c>
      <c r="AC133" s="7">
        <v>2</v>
      </c>
      <c r="AD133" s="7">
        <v>2</v>
      </c>
      <c r="AE133">
        <v>2</v>
      </c>
      <c r="AF133">
        <v>2</v>
      </c>
      <c r="AG133">
        <v>-2</v>
      </c>
      <c r="AH133">
        <v>2</v>
      </c>
      <c r="AI133">
        <v>1</v>
      </c>
      <c r="AJ133">
        <v>2</v>
      </c>
      <c r="AK133">
        <v>-2</v>
      </c>
      <c r="AL133">
        <v>2</v>
      </c>
      <c r="AM133">
        <v>0</v>
      </c>
      <c r="AN133">
        <v>2</v>
      </c>
      <c r="AO133">
        <v>-2</v>
      </c>
      <c r="AP133">
        <v>2</v>
      </c>
      <c r="AQ133">
        <v>-2</v>
      </c>
      <c r="AR133">
        <v>1</v>
      </c>
      <c r="AS133">
        <v>1</v>
      </c>
      <c r="AT133">
        <v>25</v>
      </c>
      <c r="AU133" t="str">
        <v>N/A</v>
      </c>
      <c r="AV133">
        <v>2</v>
      </c>
    </row>
    <row r="134" spans="1:48" ht="26.25" thickBot="1" x14ac:dyDescent="0.3">
      <c r="A134" s="7"/>
      <c r="B134" s="7"/>
      <c r="C134" s="8" t="s">
        <v>133</v>
      </c>
      <c r="D134" s="8">
        <v>-2</v>
      </c>
      <c r="E134" s="8">
        <v>2</v>
      </c>
      <c r="F134" s="8">
        <v>2</v>
      </c>
      <c r="G134" s="8">
        <v>2</v>
      </c>
      <c r="H134" s="8">
        <v>1</v>
      </c>
      <c r="I134" s="8">
        <v>-2</v>
      </c>
      <c r="J134" s="8">
        <v>0</v>
      </c>
      <c r="K134" s="8">
        <v>-2</v>
      </c>
      <c r="L134" s="8">
        <v>-2</v>
      </c>
      <c r="M134" s="8">
        <v>-2</v>
      </c>
      <c r="N134" s="8">
        <v>2</v>
      </c>
      <c r="O134" s="8">
        <v>-2</v>
      </c>
      <c r="P134" s="8">
        <v>-2</v>
      </c>
      <c r="Q134" s="8">
        <v>-2</v>
      </c>
      <c r="R134" s="8">
        <v>-2</v>
      </c>
      <c r="S134" s="8">
        <v>-2</v>
      </c>
      <c r="T134" s="8">
        <v>-2</v>
      </c>
      <c r="U134" s="8">
        <v>2</v>
      </c>
      <c r="V134" s="9">
        <v>24</v>
      </c>
      <c r="W134" s="9">
        <v>20</v>
      </c>
      <c r="X134" s="10">
        <v>-1</v>
      </c>
      <c r="Y134" s="31" cm="1">
        <f t="array" ref="Y134">IFERROR(_xlfn.XMATCH(TRUE, ISNUMBER(SEARCH($B$2:$B$201, C134))), 9999)</f>
        <v>122</v>
      </c>
      <c r="Z134" s="7"/>
      <c r="AA134" s="7" t="str">
        <v>김성현/ 020916</v>
      </c>
      <c r="AB134" s="7">
        <v>0</v>
      </c>
      <c r="AC134" s="7">
        <v>-1</v>
      </c>
      <c r="AD134" s="7">
        <v>-1</v>
      </c>
      <c r="AE134">
        <v>0</v>
      </c>
      <c r="AF134">
        <v>-1</v>
      </c>
      <c r="AG134">
        <v>-2</v>
      </c>
      <c r="AH134">
        <v>0</v>
      </c>
      <c r="AI134">
        <v>-1</v>
      </c>
      <c r="AJ134">
        <v>-2</v>
      </c>
      <c r="AK134">
        <v>0</v>
      </c>
      <c r="AL134">
        <v>-2</v>
      </c>
      <c r="AM134">
        <v>-2</v>
      </c>
      <c r="AN134">
        <v>-2</v>
      </c>
      <c r="AO134">
        <v>0</v>
      </c>
      <c r="AP134">
        <v>-1</v>
      </c>
      <c r="AQ134">
        <v>-2</v>
      </c>
      <c r="AR134">
        <v>-2</v>
      </c>
      <c r="AS134">
        <v>-1</v>
      </c>
      <c r="AT134">
        <v>18</v>
      </c>
      <c r="AU134" t="str">
        <v>N/A</v>
      </c>
      <c r="AV134">
        <v>2</v>
      </c>
    </row>
    <row r="135" spans="1:48" ht="52.5" customHeight="1" thickBot="1" x14ac:dyDescent="0.3">
      <c r="A135" s="7"/>
      <c r="B135" s="7"/>
      <c r="C135" s="4" t="s">
        <v>134</v>
      </c>
      <c r="D135" s="4">
        <v>-1</v>
      </c>
      <c r="E135" s="4">
        <v>1</v>
      </c>
      <c r="F135" s="4">
        <v>1</v>
      </c>
      <c r="G135" s="4">
        <v>1</v>
      </c>
      <c r="H135" s="4">
        <v>1</v>
      </c>
      <c r="I135" s="4">
        <v>-1</v>
      </c>
      <c r="J135" s="4">
        <v>2</v>
      </c>
      <c r="K135" s="4">
        <v>0</v>
      </c>
      <c r="L135" s="4">
        <v>1</v>
      </c>
      <c r="M135" s="4">
        <v>0</v>
      </c>
      <c r="N135" s="4">
        <v>1</v>
      </c>
      <c r="O135" s="4">
        <v>-1</v>
      </c>
      <c r="P135" s="4">
        <v>1</v>
      </c>
      <c r="Q135" s="4">
        <v>-1</v>
      </c>
      <c r="R135" s="4">
        <v>1</v>
      </c>
      <c r="S135" s="4">
        <v>-1</v>
      </c>
      <c r="T135" s="4">
        <v>1</v>
      </c>
      <c r="U135" s="4">
        <v>1</v>
      </c>
      <c r="V135" s="5">
        <v>23</v>
      </c>
      <c r="W135" s="4" t="s">
        <v>144</v>
      </c>
      <c r="X135" s="6">
        <v>-1</v>
      </c>
      <c r="Y135" s="31" cm="1">
        <f t="array" ref="Y135">IFERROR(_xlfn.XMATCH(TRUE, ISNUMBER(SEARCH($B$2:$B$201, C135))), 9999)</f>
        <v>123</v>
      </c>
      <c r="Z135" s="7"/>
      <c r="AA135" s="7" t="str">
        <v>2001.04.23</v>
      </c>
      <c r="AB135" s="7">
        <v>1</v>
      </c>
      <c r="AC135" s="7">
        <v>2</v>
      </c>
      <c r="AD135" s="7">
        <v>2</v>
      </c>
      <c r="AE135">
        <v>2</v>
      </c>
      <c r="AF135">
        <v>2</v>
      </c>
      <c r="AG135">
        <v>-1</v>
      </c>
      <c r="AH135">
        <v>1</v>
      </c>
      <c r="AI135">
        <v>2</v>
      </c>
      <c r="AJ135">
        <v>-1</v>
      </c>
      <c r="AK135">
        <v>-2</v>
      </c>
      <c r="AL135">
        <v>1</v>
      </c>
      <c r="AM135">
        <v>-2</v>
      </c>
      <c r="AN135">
        <v>-2</v>
      </c>
      <c r="AO135">
        <v>1</v>
      </c>
      <c r="AP135">
        <v>-1</v>
      </c>
      <c r="AQ135">
        <v>-2</v>
      </c>
      <c r="AR135">
        <v>1</v>
      </c>
      <c r="AS135">
        <v>2</v>
      </c>
      <c r="AT135">
        <v>24</v>
      </c>
      <c r="AU135" t="str">
        <v>N/A</v>
      </c>
      <c r="AV135">
        <v>1</v>
      </c>
    </row>
    <row r="136" spans="1:48" ht="26.25" thickBot="1" x14ac:dyDescent="0.3">
      <c r="A136" s="7"/>
      <c r="B136" s="7"/>
      <c r="C136" s="8" t="s">
        <v>135</v>
      </c>
      <c r="D136" s="8">
        <v>-1</v>
      </c>
      <c r="E136" s="8">
        <v>1</v>
      </c>
      <c r="F136" s="8">
        <v>1</v>
      </c>
      <c r="G136" s="8">
        <v>1</v>
      </c>
      <c r="H136" s="8">
        <v>1</v>
      </c>
      <c r="I136" s="8">
        <v>-1</v>
      </c>
      <c r="J136" s="8">
        <v>0</v>
      </c>
      <c r="K136" s="8">
        <v>1</v>
      </c>
      <c r="L136" s="8">
        <v>0</v>
      </c>
      <c r="M136" s="8">
        <v>0</v>
      </c>
      <c r="N136" s="8">
        <v>0</v>
      </c>
      <c r="O136" s="8">
        <v>0</v>
      </c>
      <c r="P136" s="8">
        <v>-1</v>
      </c>
      <c r="Q136" s="8">
        <v>0</v>
      </c>
      <c r="R136" s="8">
        <v>-2</v>
      </c>
      <c r="S136" s="8">
        <v>-2</v>
      </c>
      <c r="T136" s="8">
        <v>-2</v>
      </c>
      <c r="U136" s="8">
        <v>1</v>
      </c>
      <c r="V136" s="9">
        <v>21</v>
      </c>
      <c r="W136" s="9">
        <v>30</v>
      </c>
      <c r="X136" s="10">
        <v>-1</v>
      </c>
      <c r="Y136" s="31" cm="1">
        <f t="array" ref="Y136">IFERROR(_xlfn.XMATCH(TRUE, ISNUMBER(SEARCH($B$2:$B$201, C136))), 9999)</f>
        <v>8</v>
      </c>
      <c r="Z136" s="7"/>
      <c r="AA136" s="7" t="str">
        <v>노민채 02.06.29</v>
      </c>
      <c r="AB136" s="7">
        <v>0</v>
      </c>
      <c r="AC136" s="7">
        <v>0</v>
      </c>
      <c r="AD136" s="7">
        <v>0</v>
      </c>
      <c r="AE136">
        <v>0</v>
      </c>
      <c r="AF136">
        <v>-1</v>
      </c>
      <c r="AG136">
        <v>0</v>
      </c>
      <c r="AH136">
        <v>0</v>
      </c>
      <c r="AI136">
        <v>-1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24</v>
      </c>
      <c r="AU136" t="str">
        <v>N/A</v>
      </c>
      <c r="AV136">
        <v>0</v>
      </c>
    </row>
    <row r="137" spans="1:48" ht="30" thickBot="1" x14ac:dyDescent="0.3">
      <c r="A137" s="7"/>
      <c r="B137" s="7"/>
      <c r="C137" s="23" t="s">
        <v>152</v>
      </c>
      <c r="D137" s="4">
        <v>0</v>
      </c>
      <c r="E137" s="4">
        <v>1</v>
      </c>
      <c r="F137" s="4">
        <v>-2</v>
      </c>
      <c r="G137" s="4">
        <v>1</v>
      </c>
      <c r="H137" s="4">
        <v>1</v>
      </c>
      <c r="I137" s="4">
        <v>-1</v>
      </c>
      <c r="J137" s="4">
        <v>1</v>
      </c>
      <c r="K137" s="4">
        <v>-2</v>
      </c>
      <c r="L137" s="4">
        <v>1</v>
      </c>
      <c r="M137" s="4">
        <v>1</v>
      </c>
      <c r="N137" s="4">
        <v>1</v>
      </c>
      <c r="O137" s="4">
        <v>0</v>
      </c>
      <c r="P137" s="4">
        <v>1</v>
      </c>
      <c r="Q137" s="4">
        <v>1</v>
      </c>
      <c r="R137" s="4">
        <v>1</v>
      </c>
      <c r="S137" s="4">
        <v>-2</v>
      </c>
      <c r="T137" s="4">
        <v>-1</v>
      </c>
      <c r="U137" s="4">
        <v>-1</v>
      </c>
      <c r="V137" s="5">
        <v>18</v>
      </c>
      <c r="W137" s="5">
        <v>23</v>
      </c>
      <c r="X137" s="6">
        <v>1</v>
      </c>
      <c r="Y137" s="31" cm="1">
        <f t="array" ref="Y137">IFERROR(_xlfn.XMATCH(TRUE, ISNUMBER(SEARCH($B$2:$B$201, C137))), 9999)</f>
        <v>32</v>
      </c>
      <c r="Z137" s="7"/>
      <c r="AA137" s="7" t="str">
        <v>손우진 980330</v>
      </c>
      <c r="AB137" s="7">
        <v>-2</v>
      </c>
      <c r="AC137" s="7">
        <v>1</v>
      </c>
      <c r="AD137" s="7">
        <v>0</v>
      </c>
      <c r="AE137">
        <v>2</v>
      </c>
      <c r="AF137">
        <v>0</v>
      </c>
      <c r="AG137">
        <v>-2</v>
      </c>
      <c r="AH137">
        <v>0</v>
      </c>
      <c r="AI137">
        <v>-2</v>
      </c>
      <c r="AJ137">
        <v>-2</v>
      </c>
      <c r="AK137">
        <v>-1</v>
      </c>
      <c r="AL137">
        <v>1</v>
      </c>
      <c r="AM137">
        <v>-2</v>
      </c>
      <c r="AN137">
        <v>-2</v>
      </c>
      <c r="AO137">
        <v>0</v>
      </c>
      <c r="AP137">
        <v>-2</v>
      </c>
      <c r="AQ137">
        <v>-2</v>
      </c>
      <c r="AR137">
        <v>-2</v>
      </c>
      <c r="AS137">
        <v>1</v>
      </c>
      <c r="AT137">
        <v>28</v>
      </c>
      <c r="AU137" t="str">
        <v>N/A</v>
      </c>
      <c r="AV137">
        <v>-1</v>
      </c>
    </row>
    <row r="138" spans="1:48" ht="26.25" thickBot="1" x14ac:dyDescent="0.3">
      <c r="A138" s="7"/>
      <c r="B138" s="7"/>
      <c r="C138" s="8" t="s">
        <v>136</v>
      </c>
      <c r="D138" s="8">
        <v>0</v>
      </c>
      <c r="E138" s="8">
        <v>-1</v>
      </c>
      <c r="F138" s="8">
        <v>0</v>
      </c>
      <c r="G138" s="8">
        <v>1</v>
      </c>
      <c r="H138" s="8">
        <v>-2</v>
      </c>
      <c r="I138" s="8">
        <v>-2</v>
      </c>
      <c r="J138" s="8">
        <v>-2</v>
      </c>
      <c r="K138" s="8">
        <v>-2</v>
      </c>
      <c r="L138" s="8">
        <v>-2</v>
      </c>
      <c r="M138" s="8">
        <v>1</v>
      </c>
      <c r="N138" s="8">
        <v>2</v>
      </c>
      <c r="O138" s="8">
        <v>-2</v>
      </c>
      <c r="P138" s="8">
        <v>0</v>
      </c>
      <c r="Q138" s="8">
        <v>-2</v>
      </c>
      <c r="R138" s="8">
        <v>-2</v>
      </c>
      <c r="S138" s="8">
        <v>-2</v>
      </c>
      <c r="T138" s="8">
        <v>-2</v>
      </c>
      <c r="U138" s="8">
        <v>1</v>
      </c>
      <c r="V138" s="8">
        <v>20</v>
      </c>
      <c r="W138" s="8">
        <v>22</v>
      </c>
      <c r="X138" s="10">
        <v>-2</v>
      </c>
      <c r="Y138" s="31" cm="1">
        <f t="array" ref="Y138">IFERROR(_xlfn.XMATCH(TRUE, ISNUMBER(SEARCH($B$2:$B$201, C138))), 9999)</f>
        <v>41</v>
      </c>
      <c r="Z138" s="7"/>
      <c r="AA138" s="7" t="str">
        <v>김륜구 990307</v>
      </c>
      <c r="AB138" s="7">
        <v>1</v>
      </c>
      <c r="AC138" s="7">
        <v>1</v>
      </c>
      <c r="AD138" s="7">
        <v>0</v>
      </c>
      <c r="AE138">
        <v>1</v>
      </c>
      <c r="AF138">
        <v>-1</v>
      </c>
      <c r="AG138">
        <v>-1</v>
      </c>
      <c r="AH138">
        <v>0</v>
      </c>
      <c r="AI138">
        <v>-2</v>
      </c>
      <c r="AJ138">
        <v>-1</v>
      </c>
      <c r="AK138">
        <v>-1</v>
      </c>
      <c r="AL138">
        <v>1</v>
      </c>
      <c r="AM138">
        <v>-1</v>
      </c>
      <c r="AN138">
        <v>-1</v>
      </c>
      <c r="AO138">
        <v>-1</v>
      </c>
      <c r="AP138">
        <v>-1</v>
      </c>
      <c r="AQ138">
        <v>-2</v>
      </c>
      <c r="AR138">
        <v>-2</v>
      </c>
      <c r="AS138">
        <v>0</v>
      </c>
      <c r="AT138">
        <v>22</v>
      </c>
      <c r="AU138" t="str">
        <v>N/A</v>
      </c>
      <c r="AV138">
        <v>1</v>
      </c>
    </row>
    <row r="139" spans="1:48" ht="39" thickBot="1" x14ac:dyDescent="0.3">
      <c r="A139" s="7"/>
      <c r="B139" s="7"/>
      <c r="C139" s="4" t="s">
        <v>137</v>
      </c>
      <c r="D139" s="4">
        <v>-1</v>
      </c>
      <c r="E139" s="4">
        <v>1</v>
      </c>
      <c r="F139" s="4">
        <v>1</v>
      </c>
      <c r="G139" s="4">
        <v>2</v>
      </c>
      <c r="H139" s="4">
        <v>2</v>
      </c>
      <c r="I139" s="4">
        <v>-1</v>
      </c>
      <c r="J139" s="4">
        <v>2</v>
      </c>
      <c r="K139" s="4">
        <v>2</v>
      </c>
      <c r="L139" s="4">
        <v>0</v>
      </c>
      <c r="M139" s="4">
        <v>0</v>
      </c>
      <c r="N139" s="4">
        <v>2</v>
      </c>
      <c r="O139" s="4">
        <v>-1</v>
      </c>
      <c r="P139" s="4">
        <v>0</v>
      </c>
      <c r="Q139" s="4">
        <v>2</v>
      </c>
      <c r="R139" s="4">
        <v>0</v>
      </c>
      <c r="S139" s="4">
        <v>-1</v>
      </c>
      <c r="T139" s="4">
        <v>0</v>
      </c>
      <c r="U139" s="4">
        <v>2</v>
      </c>
      <c r="V139" s="4" t="s">
        <v>144</v>
      </c>
      <c r="W139" s="4" t="s">
        <v>144</v>
      </c>
      <c r="X139" s="6">
        <v>0</v>
      </c>
      <c r="Y139" s="31" cm="1">
        <f t="array" ref="Y139">IFERROR(_xlfn.XMATCH(TRUE, ISNUMBER(SEARCH($B$2:$B$201, C139))), 9999)</f>
        <v>96</v>
      </c>
      <c r="Z139" s="7"/>
      <c r="AA139" s="7" t="str">
        <v>이영일 990221</v>
      </c>
      <c r="AB139" s="7">
        <v>-1</v>
      </c>
      <c r="AC139" s="7">
        <v>2</v>
      </c>
      <c r="AD139" s="7">
        <v>2</v>
      </c>
      <c r="AE139">
        <v>2</v>
      </c>
      <c r="AF139">
        <v>1</v>
      </c>
      <c r="AG139">
        <v>-2</v>
      </c>
      <c r="AH139">
        <v>2</v>
      </c>
      <c r="AI139">
        <v>-2</v>
      </c>
      <c r="AJ139">
        <v>-2</v>
      </c>
      <c r="AK139">
        <v>-1</v>
      </c>
      <c r="AL139">
        <v>2</v>
      </c>
      <c r="AM139">
        <v>0</v>
      </c>
      <c r="AN139">
        <v>-2</v>
      </c>
      <c r="AO139">
        <v>-1</v>
      </c>
      <c r="AP139">
        <v>-1</v>
      </c>
      <c r="AQ139">
        <v>-2</v>
      </c>
      <c r="AR139">
        <v>-2</v>
      </c>
      <c r="AS139">
        <v>2</v>
      </c>
      <c r="AT139">
        <v>24</v>
      </c>
      <c r="AU139" t="str">
        <v>N/A</v>
      </c>
      <c r="AV139">
        <v>2</v>
      </c>
    </row>
    <row r="140" spans="1:48" ht="26.25" thickBot="1" x14ac:dyDescent="0.3">
      <c r="A140" s="7"/>
      <c r="B140" s="7"/>
      <c r="C140" s="8" t="s">
        <v>138</v>
      </c>
      <c r="D140" s="8">
        <v>-1</v>
      </c>
      <c r="E140" s="8">
        <v>1</v>
      </c>
      <c r="F140" s="8">
        <v>1</v>
      </c>
      <c r="G140" s="8">
        <v>1</v>
      </c>
      <c r="H140" s="8">
        <v>1</v>
      </c>
      <c r="I140" s="8">
        <v>-1</v>
      </c>
      <c r="J140" s="8">
        <v>1</v>
      </c>
      <c r="K140" s="8">
        <v>1</v>
      </c>
      <c r="L140" s="8">
        <v>0</v>
      </c>
      <c r="M140" s="8">
        <v>1</v>
      </c>
      <c r="N140" s="8">
        <v>1</v>
      </c>
      <c r="O140" s="8">
        <v>1</v>
      </c>
      <c r="P140" s="8">
        <v>1</v>
      </c>
      <c r="Q140" s="8">
        <v>-1</v>
      </c>
      <c r="R140" s="8">
        <v>1</v>
      </c>
      <c r="S140" s="8">
        <v>-1</v>
      </c>
      <c r="T140" s="8">
        <v>1</v>
      </c>
      <c r="U140" s="8">
        <v>1</v>
      </c>
      <c r="V140" s="9">
        <v>22</v>
      </c>
      <c r="W140" s="9">
        <v>28</v>
      </c>
      <c r="X140" s="10">
        <v>2</v>
      </c>
      <c r="Y140" s="31" cm="1">
        <f t="array" ref="Y140">IFERROR(_xlfn.XMATCH(TRUE, ISNUMBER(SEARCH($B$2:$B$201, C140))), 9999)</f>
        <v>113</v>
      </c>
      <c r="Z140" s="7"/>
      <c r="AA140" s="7" t="str">
        <v>황서연 2000.10.02</v>
      </c>
      <c r="AB140" s="7">
        <v>1</v>
      </c>
      <c r="AC140" s="7">
        <v>-1</v>
      </c>
      <c r="AD140" s="7">
        <v>-1</v>
      </c>
      <c r="AE140">
        <v>1</v>
      </c>
      <c r="AF140">
        <v>-1</v>
      </c>
      <c r="AG140">
        <v>-2</v>
      </c>
      <c r="AH140">
        <v>-2</v>
      </c>
      <c r="AI140">
        <v>-2</v>
      </c>
      <c r="AJ140">
        <v>-1</v>
      </c>
      <c r="AK140">
        <v>1</v>
      </c>
      <c r="AL140">
        <v>1</v>
      </c>
      <c r="AM140">
        <v>-1</v>
      </c>
      <c r="AN140">
        <v>-1</v>
      </c>
      <c r="AO140">
        <v>1</v>
      </c>
      <c r="AP140">
        <v>-1</v>
      </c>
      <c r="AQ140">
        <v>-1</v>
      </c>
      <c r="AR140">
        <v>-1</v>
      </c>
      <c r="AS140">
        <v>-2</v>
      </c>
      <c r="AT140" t="str">
        <v>N/A</v>
      </c>
      <c r="AU140" t="str">
        <v>N/A</v>
      </c>
      <c r="AV140">
        <v>0</v>
      </c>
    </row>
    <row r="141" spans="1:48" ht="47.25" customHeight="1" thickBot="1" x14ac:dyDescent="0.3">
      <c r="A141" s="7"/>
      <c r="B141" s="7"/>
      <c r="C141" s="4" t="s">
        <v>139</v>
      </c>
      <c r="D141" s="4">
        <v>-2</v>
      </c>
      <c r="E141" s="4">
        <v>2</v>
      </c>
      <c r="F141" s="4">
        <v>-2</v>
      </c>
      <c r="G141" s="4">
        <v>1</v>
      </c>
      <c r="H141" s="4">
        <v>1</v>
      </c>
      <c r="I141" s="4">
        <v>-2</v>
      </c>
      <c r="J141" s="4">
        <v>1</v>
      </c>
      <c r="K141" s="4">
        <v>-2</v>
      </c>
      <c r="L141" s="4">
        <v>-2</v>
      </c>
      <c r="M141" s="4">
        <v>1</v>
      </c>
      <c r="N141" s="4">
        <v>2</v>
      </c>
      <c r="O141" s="4">
        <v>-2</v>
      </c>
      <c r="P141" s="4">
        <v>-2</v>
      </c>
      <c r="Q141" s="4">
        <v>1</v>
      </c>
      <c r="R141" s="4">
        <v>-2</v>
      </c>
      <c r="S141" s="4">
        <v>-2</v>
      </c>
      <c r="T141" s="4">
        <v>-2</v>
      </c>
      <c r="U141" s="4">
        <v>1</v>
      </c>
      <c r="V141" s="4">
        <v>22</v>
      </c>
      <c r="W141" s="4">
        <v>26</v>
      </c>
      <c r="X141" s="6">
        <v>2</v>
      </c>
      <c r="Y141" s="31" cm="1">
        <f t="array" ref="Y141">IFERROR(_xlfn.XMATCH(TRUE, ISNUMBER(SEARCH($B$2:$B$201, C141))), 9999)</f>
        <v>109</v>
      </c>
      <c r="Z141" s="7"/>
      <c r="AA141" s="7" t="str">
        <v>소천호 940913</v>
      </c>
      <c r="AB141" s="7">
        <v>-1</v>
      </c>
      <c r="AC141" s="7">
        <v>1</v>
      </c>
      <c r="AD141" s="7">
        <v>1</v>
      </c>
      <c r="AE141">
        <v>2</v>
      </c>
      <c r="AF141">
        <v>1</v>
      </c>
      <c r="AG141">
        <v>1</v>
      </c>
      <c r="AH141">
        <v>0</v>
      </c>
      <c r="AI141">
        <v>-1</v>
      </c>
      <c r="AJ141">
        <v>0</v>
      </c>
      <c r="AK141">
        <v>-1</v>
      </c>
      <c r="AL141">
        <v>1</v>
      </c>
      <c r="AM141">
        <v>-1</v>
      </c>
      <c r="AN141">
        <v>-1</v>
      </c>
      <c r="AO141">
        <v>0</v>
      </c>
      <c r="AP141">
        <v>1</v>
      </c>
      <c r="AQ141">
        <v>-1</v>
      </c>
      <c r="AR141">
        <v>-1</v>
      </c>
      <c r="AS141">
        <v>-1</v>
      </c>
      <c r="AT141">
        <v>24</v>
      </c>
      <c r="AU141">
        <v>27</v>
      </c>
      <c r="AV141">
        <v>1</v>
      </c>
    </row>
    <row r="142" spans="1:48" ht="26.25" thickBot="1" x14ac:dyDescent="0.3">
      <c r="A142" s="7"/>
      <c r="B142" s="7"/>
      <c r="C142" s="20" t="s">
        <v>140</v>
      </c>
      <c r="D142" s="20">
        <v>-1</v>
      </c>
      <c r="E142" s="20">
        <v>1</v>
      </c>
      <c r="F142" s="20">
        <v>1</v>
      </c>
      <c r="G142" s="20">
        <v>2</v>
      </c>
      <c r="H142" s="20">
        <v>1</v>
      </c>
      <c r="I142" s="20">
        <v>-1</v>
      </c>
      <c r="J142" s="20">
        <v>1</v>
      </c>
      <c r="K142" s="20">
        <v>1</v>
      </c>
      <c r="L142" s="20">
        <v>0</v>
      </c>
      <c r="M142" s="20">
        <v>0</v>
      </c>
      <c r="N142" s="20">
        <v>1</v>
      </c>
      <c r="O142" s="20">
        <v>1</v>
      </c>
      <c r="P142" s="20">
        <v>0</v>
      </c>
      <c r="Q142" s="20">
        <v>1</v>
      </c>
      <c r="R142" s="20">
        <v>0</v>
      </c>
      <c r="S142" s="20">
        <v>1</v>
      </c>
      <c r="T142" s="20">
        <v>-1</v>
      </c>
      <c r="U142" s="20">
        <v>1</v>
      </c>
      <c r="V142" s="20">
        <v>25</v>
      </c>
      <c r="W142" s="20" t="s">
        <v>144</v>
      </c>
      <c r="X142" s="21">
        <v>1</v>
      </c>
      <c r="Y142" s="31" cm="1">
        <f t="array" ref="Y142">IFERROR(_xlfn.XMATCH(TRUE, ISNUMBER(SEARCH($B$2:$B$201, C142))), 9999)</f>
        <v>124</v>
      </c>
      <c r="Z142" s="7"/>
      <c r="AA142" s="7" t="str">
        <v>이채윤 19981017</v>
      </c>
      <c r="AB142" s="7">
        <v>-2</v>
      </c>
      <c r="AC142" s="7">
        <v>2</v>
      </c>
      <c r="AD142" s="7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-1</v>
      </c>
      <c r="AN142">
        <v>1</v>
      </c>
      <c r="AO142">
        <v>-1</v>
      </c>
      <c r="AP142">
        <v>2</v>
      </c>
      <c r="AQ142">
        <v>-1</v>
      </c>
      <c r="AR142">
        <v>1</v>
      </c>
      <c r="AS142">
        <v>1</v>
      </c>
      <c r="AT142">
        <v>24</v>
      </c>
      <c r="AU142">
        <v>26</v>
      </c>
      <c r="AV142">
        <v>1</v>
      </c>
    </row>
    <row r="143" spans="1:48" ht="39.75" thickBot="1" x14ac:dyDescent="0.3">
      <c r="A143" s="7"/>
      <c r="B143" s="7"/>
      <c r="C143" s="42" t="s">
        <v>292</v>
      </c>
      <c r="F143" s="44" t="s">
        <v>298</v>
      </c>
      <c r="Y143" s="31" cm="1">
        <f t="array" ref="Y143">IFERROR(_xlfn.XMATCH(TRUE, ISNUMBER(SEARCH($B$2:$B$201, C143))), 9999)</f>
        <v>83</v>
      </c>
      <c r="Z143" s="7"/>
      <c r="AA143" s="7" t="str">
        <v>이지원 991026</v>
      </c>
      <c r="AB143" s="7">
        <v>-1</v>
      </c>
      <c r="AC143" s="7">
        <v>1</v>
      </c>
      <c r="AD143" s="7">
        <v>0</v>
      </c>
      <c r="AE143">
        <v>1</v>
      </c>
      <c r="AF143">
        <v>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1</v>
      </c>
      <c r="AM143">
        <v>-1</v>
      </c>
      <c r="AN143">
        <v>-1</v>
      </c>
      <c r="AO143">
        <v>1</v>
      </c>
      <c r="AP143">
        <v>-1</v>
      </c>
      <c r="AQ143">
        <v>-1</v>
      </c>
      <c r="AR143">
        <v>-1</v>
      </c>
      <c r="AS143">
        <v>1</v>
      </c>
      <c r="AT143">
        <v>22</v>
      </c>
      <c r="AU143" t="str">
        <v>N/A</v>
      </c>
      <c r="AV143">
        <v>1</v>
      </c>
    </row>
    <row r="144" spans="1:48" ht="39.75" customHeight="1" thickBot="1" x14ac:dyDescent="0.3">
      <c r="A144" s="7"/>
      <c r="B144" s="7"/>
      <c r="C144" s="43" t="s">
        <v>293</v>
      </c>
      <c r="F144" s="44" t="s">
        <v>296</v>
      </c>
      <c r="Y144" s="31" cm="1">
        <f t="array" ref="Y144">IFERROR(_xlfn.XMATCH(TRUE, ISNUMBER(SEARCH($B$2:$B$201, C144))), 9999)</f>
        <v>108</v>
      </c>
      <c r="Z144" s="7"/>
      <c r="AA144" s="7" t="str">
        <v>f</v>
      </c>
      <c r="AB144" s="7">
        <v>-2</v>
      </c>
      <c r="AC144" s="7">
        <v>-2</v>
      </c>
      <c r="AD144" s="7">
        <v>-2</v>
      </c>
      <c r="AE144">
        <v>-2</v>
      </c>
      <c r="AF144">
        <v>-2</v>
      </c>
      <c r="AG144">
        <v>-2</v>
      </c>
      <c r="AH144">
        <v>-2</v>
      </c>
      <c r="AI144">
        <v>-2</v>
      </c>
      <c r="AJ144">
        <v>-2</v>
      </c>
      <c r="AK144">
        <v>-2</v>
      </c>
      <c r="AL144">
        <v>-2</v>
      </c>
      <c r="AM144">
        <v>-2</v>
      </c>
      <c r="AN144">
        <v>-2</v>
      </c>
      <c r="AO144">
        <v>-2</v>
      </c>
      <c r="AP144">
        <v>-2</v>
      </c>
      <c r="AQ144">
        <v>-2</v>
      </c>
      <c r="AR144">
        <v>-2</v>
      </c>
      <c r="AS144">
        <v>-2</v>
      </c>
      <c r="AT144">
        <v>1</v>
      </c>
      <c r="AU144">
        <v>1</v>
      </c>
      <c r="AV144">
        <v>2</v>
      </c>
    </row>
    <row r="145" spans="1:48" ht="49.5" customHeight="1" thickBot="1" x14ac:dyDescent="0.3">
      <c r="A145" s="7"/>
      <c r="B145" s="7"/>
      <c r="C145" s="43" t="s">
        <v>294</v>
      </c>
      <c r="F145" s="44" t="s">
        <v>297</v>
      </c>
      <c r="Y145" s="31" cm="1">
        <f t="array" ref="Y145">IFERROR(_xlfn.XMATCH(TRUE, ISNUMBER(SEARCH($B$2:$B$201, C145))), 9999)</f>
        <v>14</v>
      </c>
      <c r="Z145" s="7"/>
      <c r="AA145" s="7" t="str">
        <v>임서하 96.08.15</v>
      </c>
      <c r="AB145" s="7">
        <v>-1</v>
      </c>
      <c r="AC145" s="7">
        <v>1</v>
      </c>
      <c r="AD145" s="7">
        <v>0</v>
      </c>
      <c r="AE145">
        <v>1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-1</v>
      </c>
      <c r="AR145">
        <v>0</v>
      </c>
      <c r="AS145">
        <v>1</v>
      </c>
      <c r="AT145">
        <v>20</v>
      </c>
      <c r="AU145">
        <v>26</v>
      </c>
      <c r="AV145">
        <v>1</v>
      </c>
    </row>
    <row r="146" spans="1:48" ht="44.25" customHeight="1" thickBot="1" x14ac:dyDescent="0.3">
      <c r="A146" s="7"/>
      <c r="B146" s="7"/>
      <c r="C146" t="s">
        <v>295</v>
      </c>
      <c r="F146" s="44" t="s">
        <v>299</v>
      </c>
      <c r="Y146" s="31" cm="1">
        <f t="array" ref="Y146">IFERROR(_xlfn.XMATCH(TRUE, ISNUMBER(SEARCH($B$2:$B$201, C146))), 9999)</f>
        <v>64</v>
      </c>
      <c r="Z146" s="7"/>
      <c r="AA146" s="7">
        <v>0</v>
      </c>
      <c r="AB146" s="7">
        <v>-2</v>
      </c>
      <c r="AC146" s="7">
        <v>-2</v>
      </c>
      <c r="AD146" s="7">
        <v>-2</v>
      </c>
      <c r="AE146">
        <v>-2</v>
      </c>
      <c r="AF146">
        <v>-2</v>
      </c>
      <c r="AG146">
        <v>-2</v>
      </c>
      <c r="AH146">
        <v>-2</v>
      </c>
      <c r="AI146">
        <v>-2</v>
      </c>
      <c r="AJ146">
        <v>-2</v>
      </c>
      <c r="AK146">
        <v>-2</v>
      </c>
      <c r="AL146">
        <v>-2</v>
      </c>
      <c r="AM146">
        <v>-2</v>
      </c>
      <c r="AN146">
        <v>-2</v>
      </c>
      <c r="AO146">
        <v>-2</v>
      </c>
      <c r="AP146">
        <v>-2</v>
      </c>
      <c r="AQ146">
        <v>-2</v>
      </c>
      <c r="AR146">
        <v>-2</v>
      </c>
      <c r="AS146">
        <v>-2</v>
      </c>
      <c r="AT146">
        <v>18</v>
      </c>
      <c r="AU146">
        <v>21</v>
      </c>
      <c r="AV146">
        <v>2</v>
      </c>
    </row>
    <row r="147" spans="1:48" ht="17.25" thickBot="1" x14ac:dyDescent="0.3">
      <c r="A147" s="7"/>
      <c r="B147" s="7"/>
      <c r="Y147" s="31"/>
      <c r="Z147" s="7"/>
      <c r="AA147" s="7">
        <v>0</v>
      </c>
      <c r="AB147" s="7">
        <v>0</v>
      </c>
      <c r="AC147" s="7">
        <v>0</v>
      </c>
      <c r="AD147" s="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ht="17.25" thickBot="1" x14ac:dyDescent="0.3">
      <c r="A148" s="7"/>
      <c r="B148" s="7"/>
      <c r="Y148" s="31"/>
      <c r="Z148" s="7"/>
      <c r="AA148" s="7">
        <v>0</v>
      </c>
      <c r="AB148" s="7">
        <v>0</v>
      </c>
      <c r="AC148" s="7">
        <v>0</v>
      </c>
      <c r="AD148" s="7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ht="17.25" thickBot="1" x14ac:dyDescent="0.3">
      <c r="A149" s="7"/>
      <c r="B149" s="7"/>
      <c r="Y149" s="31"/>
      <c r="Z149" s="7"/>
      <c r="AA149" s="7">
        <v>0</v>
      </c>
      <c r="AB149" s="7">
        <v>0</v>
      </c>
      <c r="AC149" s="7">
        <v>0</v>
      </c>
      <c r="AD149" s="7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 spans="1:48" ht="27" thickBot="1" x14ac:dyDescent="0.3">
      <c r="A150" s="7"/>
      <c r="B150" s="7"/>
      <c r="Y150" s="31"/>
      <c r="Z150" s="7"/>
      <c r="AA150" s="7">
        <v>0</v>
      </c>
      <c r="AB150" s="7">
        <v>0</v>
      </c>
      <c r="AC150" s="7">
        <v>0</v>
      </c>
      <c r="AD150" s="7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ht="17.25" thickBot="1" x14ac:dyDescent="0.3">
      <c r="A151" s="7"/>
      <c r="B151" s="7"/>
      <c r="Y151" s="31"/>
      <c r="Z151" s="7"/>
      <c r="AA151" s="7">
        <v>0</v>
      </c>
      <c r="AB151" s="7">
        <v>0</v>
      </c>
      <c r="AC151" s="7">
        <v>0</v>
      </c>
      <c r="AD151" s="7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ht="17.25" thickBo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>
        <v>0</v>
      </c>
      <c r="AB152" s="7">
        <v>0</v>
      </c>
      <c r="AC152" s="7">
        <v>0</v>
      </c>
      <c r="AD152" s="7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 ht="17.25" thickBo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>
        <v>0</v>
      </c>
      <c r="AB153" s="7">
        <v>0</v>
      </c>
      <c r="AC153" s="7">
        <v>0</v>
      </c>
      <c r="AD153" s="7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ht="17.25" thickBo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>
        <v>0</v>
      </c>
      <c r="AB154" s="7">
        <v>0</v>
      </c>
      <c r="AC154" s="7">
        <v>0</v>
      </c>
      <c r="AD154" s="7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ht="17.25" thickBo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>
        <v>0</v>
      </c>
      <c r="AB155" s="7">
        <v>0</v>
      </c>
      <c r="AC155" s="7">
        <v>0</v>
      </c>
      <c r="AD155" s="7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 ht="17.25" thickBo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>
        <v>0</v>
      </c>
      <c r="AB156" s="7">
        <v>0</v>
      </c>
      <c r="AC156" s="7">
        <v>0</v>
      </c>
      <c r="AD156" s="7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 spans="1:48" ht="17.25" thickBo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>
        <v>0</v>
      </c>
      <c r="AB157" s="7">
        <v>0</v>
      </c>
      <c r="AC157" s="7">
        <v>0</v>
      </c>
      <c r="AD157" s="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 spans="1:48" ht="17.25" thickBo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>
        <v>0</v>
      </c>
      <c r="AB158" s="7">
        <v>0</v>
      </c>
      <c r="AC158" s="7">
        <v>0</v>
      </c>
      <c r="AD158" s="7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ht="17.25" thickBo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>
        <v>0</v>
      </c>
      <c r="AB159" s="7">
        <v>0</v>
      </c>
      <c r="AC159" s="7">
        <v>0</v>
      </c>
      <c r="AD159" s="7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ht="17.25" thickBo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>
        <v>0</v>
      </c>
      <c r="AB160" s="7">
        <v>0</v>
      </c>
      <c r="AC160" s="7">
        <v>0</v>
      </c>
      <c r="AD160" s="7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ht="17.25" thickBo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>
        <v>0</v>
      </c>
      <c r="AB161" s="7">
        <v>0</v>
      </c>
      <c r="AC161" s="7">
        <v>0</v>
      </c>
      <c r="AD161" s="7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ht="17.25" thickBo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>
        <v>0</v>
      </c>
      <c r="AB162" s="7">
        <v>0</v>
      </c>
      <c r="AC162" s="7">
        <v>0</v>
      </c>
      <c r="AD162" s="7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 ht="17.25" thickBo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>
        <v>0</v>
      </c>
      <c r="AB163" s="7">
        <v>0</v>
      </c>
      <c r="AC163" s="7">
        <v>0</v>
      </c>
      <c r="AD163" s="7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 ht="17.25" thickBo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>
        <v>0</v>
      </c>
      <c r="AB164" s="7">
        <v>0</v>
      </c>
      <c r="AC164" s="7">
        <v>0</v>
      </c>
      <c r="AD164" s="7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 spans="1:48" ht="17.25" thickBo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>
        <v>0</v>
      </c>
      <c r="AB165" s="7">
        <v>0</v>
      </c>
      <c r="AC165" s="7">
        <v>0</v>
      </c>
      <c r="AD165" s="7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 ht="17.25" thickBo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>
        <v>0</v>
      </c>
      <c r="AB166" s="7">
        <v>0</v>
      </c>
      <c r="AC166" s="7">
        <v>0</v>
      </c>
      <c r="AD166" s="7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ht="17.25" thickBo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>
        <v>0</v>
      </c>
      <c r="AB167" s="7">
        <v>0</v>
      </c>
      <c r="AC167" s="7">
        <v>0</v>
      </c>
      <c r="AD167" s="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 spans="1:48" ht="17.25" thickBo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>
        <v>0</v>
      </c>
      <c r="AB168" s="7">
        <v>0</v>
      </c>
      <c r="AC168" s="7">
        <v>0</v>
      </c>
      <c r="AD168" s="7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 ht="17.25" thickBo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>
        <v>0</v>
      </c>
      <c r="AB169" s="7">
        <v>0</v>
      </c>
      <c r="AC169" s="7">
        <v>0</v>
      </c>
      <c r="AD169" s="7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spans="1:48" ht="17.25" thickBo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>
        <v>0</v>
      </c>
      <c r="AB170" s="7">
        <v>0</v>
      </c>
      <c r="AC170" s="7">
        <v>0</v>
      </c>
      <c r="AD170" s="7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 ht="17.25" thickBo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>
        <v>0</v>
      </c>
      <c r="AB171" s="7">
        <v>0</v>
      </c>
      <c r="AC171" s="7">
        <v>0</v>
      </c>
      <c r="AD171" s="7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 spans="1:48" ht="17.25" thickBo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>
        <v>0</v>
      </c>
      <c r="AB172" s="7">
        <v>0</v>
      </c>
      <c r="AC172" s="7">
        <v>0</v>
      </c>
      <c r="AD172" s="7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ht="17.25" thickBo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>
        <v>0</v>
      </c>
      <c r="AB173" s="7">
        <v>0</v>
      </c>
      <c r="AC173" s="7">
        <v>0</v>
      </c>
      <c r="AD173" s="7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ht="17.25" thickBo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>
        <v>0</v>
      </c>
      <c r="AB174" s="7">
        <v>0</v>
      </c>
      <c r="AC174" s="7">
        <v>0</v>
      </c>
      <c r="AD174" s="7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ht="17.25" thickBo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>
        <v>0</v>
      </c>
      <c r="AB175" s="7">
        <v>0</v>
      </c>
      <c r="AC175" s="7">
        <v>0</v>
      </c>
      <c r="AD175" s="7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ht="17.25" thickBo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>
        <v>0</v>
      </c>
      <c r="AB176" s="7">
        <v>0</v>
      </c>
      <c r="AC176" s="7">
        <v>0</v>
      </c>
      <c r="AD176" s="7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ht="17.25" thickBo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>
        <v>0</v>
      </c>
      <c r="AB177" s="7">
        <v>0</v>
      </c>
      <c r="AC177" s="7">
        <v>0</v>
      </c>
      <c r="AD177" s="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ht="17.25" thickBo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>
        <v>0</v>
      </c>
      <c r="AB178" s="7">
        <v>0</v>
      </c>
      <c r="AC178" s="7">
        <v>0</v>
      </c>
      <c r="AD178" s="7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ht="17.25" thickBo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>
        <v>0</v>
      </c>
      <c r="AB179" s="7">
        <v>0</v>
      </c>
      <c r="AC179" s="7">
        <v>0</v>
      </c>
      <c r="AD179" s="7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ht="17.25" thickBo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>
        <v>0</v>
      </c>
      <c r="AB180" s="7">
        <v>0</v>
      </c>
      <c r="AC180" s="7">
        <v>0</v>
      </c>
      <c r="AD180" s="7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ht="17.25" thickBo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>
        <v>0</v>
      </c>
      <c r="AB181" s="7">
        <v>0</v>
      </c>
      <c r="AC181" s="7">
        <v>0</v>
      </c>
      <c r="AD181" s="7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ht="17.25" thickBo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>
        <v>0</v>
      </c>
      <c r="AB182" s="7">
        <v>0</v>
      </c>
      <c r="AC182" s="7">
        <v>0</v>
      </c>
      <c r="AD182" s="7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 ht="17.25" thickBo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>
        <v>0</v>
      </c>
      <c r="AB183" s="7">
        <v>0</v>
      </c>
      <c r="AC183" s="7">
        <v>0</v>
      </c>
      <c r="AD183" s="7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ht="17.25" thickBo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>
        <v>0</v>
      </c>
      <c r="AB184" s="7">
        <v>0</v>
      </c>
      <c r="AC184" s="7">
        <v>0</v>
      </c>
      <c r="AD184" s="7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 ht="17.25" thickBo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>
        <v>0</v>
      </c>
      <c r="AB185" s="7">
        <v>0</v>
      </c>
      <c r="AC185" s="7">
        <v>0</v>
      </c>
      <c r="AD185" s="7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 ht="17.25" thickBo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>
        <v>0</v>
      </c>
      <c r="AB186" s="7">
        <v>0</v>
      </c>
      <c r="AC186" s="7">
        <v>0</v>
      </c>
      <c r="AD186" s="7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 ht="17.25" thickBo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>
        <v>0</v>
      </c>
      <c r="AB187" s="7">
        <v>0</v>
      </c>
      <c r="AC187" s="7">
        <v>0</v>
      </c>
      <c r="AD187" s="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 spans="1:48" ht="17.25" thickBo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>
        <v>0</v>
      </c>
      <c r="AB188" s="7">
        <v>0</v>
      </c>
      <c r="AC188" s="7">
        <v>0</v>
      </c>
      <c r="AD188" s="7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 ht="17.25" thickBo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>
        <v>0</v>
      </c>
      <c r="AB189" s="7">
        <v>0</v>
      </c>
      <c r="AC189" s="7">
        <v>0</v>
      </c>
      <c r="AD189" s="7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ht="17.25" thickBo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>
        <v>0</v>
      </c>
      <c r="AB190" s="7">
        <v>0</v>
      </c>
      <c r="AC190" s="7">
        <v>0</v>
      </c>
      <c r="AD190" s="7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ht="17.25" thickBo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>
        <v>0</v>
      </c>
      <c r="AB191" s="7">
        <v>0</v>
      </c>
      <c r="AC191" s="7">
        <v>0</v>
      </c>
      <c r="AD191" s="7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ht="17.25" thickBo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>
        <v>0</v>
      </c>
      <c r="AB192" s="7">
        <v>0</v>
      </c>
      <c r="AC192" s="7">
        <v>0</v>
      </c>
      <c r="AD192" s="7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 ht="17.25" thickBo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>
        <v>0</v>
      </c>
      <c r="AB193" s="7">
        <v>0</v>
      </c>
      <c r="AC193" s="7">
        <v>0</v>
      </c>
      <c r="AD193" s="7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ht="17.25" thickBo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>
        <v>0</v>
      </c>
      <c r="AB194" s="7">
        <v>0</v>
      </c>
      <c r="AC194" s="7">
        <v>0</v>
      </c>
      <c r="AD194" s="7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ht="17.25" thickBo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>
        <v>0</v>
      </c>
      <c r="AB195" s="7">
        <v>0</v>
      </c>
      <c r="AC195" s="7">
        <v>0</v>
      </c>
      <c r="AD195" s="7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ht="17.25" thickBo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>
        <v>0</v>
      </c>
      <c r="AB196" s="7">
        <v>0</v>
      </c>
      <c r="AC196" s="7">
        <v>0</v>
      </c>
      <c r="AD196" s="7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ht="17.25" thickBo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>
        <v>0</v>
      </c>
      <c r="AB197" s="7">
        <v>0</v>
      </c>
      <c r="AC197" s="7">
        <v>0</v>
      </c>
      <c r="AD197" s="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ht="17.25" thickBo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>
        <v>0</v>
      </c>
      <c r="AB198" s="7">
        <v>0</v>
      </c>
      <c r="AC198" s="7">
        <v>0</v>
      </c>
      <c r="AD198" s="7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ht="17.25" thickBo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>
        <v>0</v>
      </c>
      <c r="AB199" s="7">
        <v>0</v>
      </c>
      <c r="AC199" s="7">
        <v>0</v>
      </c>
      <c r="AD199" s="7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ht="17.25" thickBo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>
        <v>0</v>
      </c>
      <c r="AB200" s="7">
        <v>0</v>
      </c>
      <c r="AC200" s="7">
        <v>0</v>
      </c>
      <c r="AD200" s="7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ht="17.25" thickBo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>
        <v>0</v>
      </c>
      <c r="AB201" s="7">
        <v>0</v>
      </c>
      <c r="AC201" s="7">
        <v>0</v>
      </c>
      <c r="AD201" s="7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ht="17.25" thickBo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48" ht="17.25" thickBo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48" ht="17.25" thickBo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48" ht="17.25" thickBo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48" ht="17.25" thickBo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48" ht="17.25" thickBo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48" ht="17.25" thickBo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7.25" thickBo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7.25" thickBo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7.25" thickBo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7.25" thickBo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7.25" thickBo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7.25" thickBo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7.25" thickBo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7.25" thickBo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7.25" thickBo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7.25" thickBo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7.25" thickBo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7.25" thickBo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7.25" thickBo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7.25" thickBo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7.25" thickBo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7.25" thickBo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7.25" thickBo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7.25" thickBo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7.25" thickBo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7.25" thickBo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7.25" thickBo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7.25" thickBo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7.25" thickBo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7.25" thickBo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7.25" thickBo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7.25" thickBo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7.25" thickBo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7.25" thickBo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7.25" thickBo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7.25" thickBo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7.25" thickBo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7.25" thickBo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7.25" thickBo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7.25" thickBo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7.25" thickBo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7.25" thickBo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7.25" thickBo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7.25" thickBo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7.25" thickBo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7.25" thickBo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7.25" thickBo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7.25" thickBo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7.25" thickBo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7.25" thickBot="1" x14ac:dyDescent="0.25">
      <c r="A252" s="7"/>
      <c r="B252" s="7"/>
    </row>
    <row r="253" spans="1:30" ht="17.25" thickBot="1" x14ac:dyDescent="0.25">
      <c r="A253" s="7"/>
      <c r="B253" s="7"/>
    </row>
    <row r="254" spans="1:30" ht="17.25" thickBot="1" x14ac:dyDescent="0.25">
      <c r="A254" s="7"/>
      <c r="B254" s="7"/>
    </row>
    <row r="255" spans="1:30" ht="17.25" thickBot="1" x14ac:dyDescent="0.25">
      <c r="A255" s="7"/>
      <c r="B255" s="7"/>
    </row>
    <row r="256" spans="1:30" ht="17.25" thickBot="1" x14ac:dyDescent="0.25">
      <c r="A256" s="7"/>
      <c r="B256" s="7"/>
    </row>
    <row r="257" spans="1:2" ht="17.25" thickBot="1" x14ac:dyDescent="0.25">
      <c r="A257" s="7"/>
      <c r="B257" s="7"/>
    </row>
    <row r="258" spans="1:2" ht="17.25" thickBot="1" x14ac:dyDescent="0.25">
      <c r="A258" s="7"/>
      <c r="B258" s="7"/>
    </row>
    <row r="259" spans="1:2" ht="17.25" thickBot="1" x14ac:dyDescent="0.25">
      <c r="A259" s="7"/>
      <c r="B259" s="7"/>
    </row>
    <row r="260" spans="1:2" ht="17.25" thickBot="1" x14ac:dyDescent="0.25">
      <c r="A260" s="7"/>
      <c r="B260" s="7"/>
    </row>
    <row r="261" spans="1:2" ht="17.25" thickBot="1" x14ac:dyDescent="0.25">
      <c r="A261" s="7"/>
      <c r="B261" s="7"/>
    </row>
    <row r="262" spans="1:2" ht="17.25" thickBot="1" x14ac:dyDescent="0.25">
      <c r="A262" s="7"/>
      <c r="B262" s="7"/>
    </row>
    <row r="263" spans="1:2" ht="17.25" thickBot="1" x14ac:dyDescent="0.25">
      <c r="A263" s="7"/>
      <c r="B263" s="7"/>
    </row>
    <row r="264" spans="1:2" ht="17.25" thickBot="1" x14ac:dyDescent="0.25">
      <c r="A264" s="7"/>
      <c r="B264" s="7"/>
    </row>
    <row r="265" spans="1:2" ht="17.25" thickBot="1" x14ac:dyDescent="0.25">
      <c r="A265" s="7"/>
      <c r="B265" s="7"/>
    </row>
    <row r="266" spans="1:2" ht="17.25" thickBot="1" x14ac:dyDescent="0.25">
      <c r="A266" s="7"/>
      <c r="B266" s="7"/>
    </row>
    <row r="267" spans="1:2" ht="17.25" thickBot="1" x14ac:dyDescent="0.25">
      <c r="A267" s="7"/>
      <c r="B267" s="7"/>
    </row>
    <row r="268" spans="1:2" ht="17.25" thickBot="1" x14ac:dyDescent="0.25">
      <c r="A268" s="7"/>
      <c r="B268" s="7"/>
    </row>
    <row r="269" spans="1:2" ht="17.25" thickBot="1" x14ac:dyDescent="0.25">
      <c r="A269" s="7"/>
      <c r="B269" s="7"/>
    </row>
    <row r="270" spans="1:2" ht="17.25" thickBot="1" x14ac:dyDescent="0.25">
      <c r="A270" s="7"/>
      <c r="B270" s="7"/>
    </row>
    <row r="271" spans="1:2" ht="17.25" thickBot="1" x14ac:dyDescent="0.25">
      <c r="A271" s="7"/>
      <c r="B271" s="7"/>
    </row>
    <row r="272" spans="1:2" ht="17.25" thickBot="1" x14ac:dyDescent="0.25">
      <c r="A272" s="7"/>
      <c r="B272" s="7"/>
    </row>
    <row r="273" spans="1:2" ht="17.25" thickBot="1" x14ac:dyDescent="0.25">
      <c r="A273" s="7"/>
      <c r="B273" s="7"/>
    </row>
    <row r="274" spans="1:2" ht="17.25" thickBot="1" x14ac:dyDescent="0.25">
      <c r="A274" s="7"/>
      <c r="B274" s="7"/>
    </row>
    <row r="275" spans="1:2" ht="17.25" thickBot="1" x14ac:dyDescent="0.25">
      <c r="A275" s="7"/>
      <c r="B275" s="7"/>
    </row>
    <row r="276" spans="1:2" ht="17.25" thickBot="1" x14ac:dyDescent="0.25">
      <c r="A276" s="7"/>
      <c r="B276" s="7"/>
    </row>
    <row r="277" spans="1:2" ht="17.25" thickBot="1" x14ac:dyDescent="0.25">
      <c r="A277" s="7"/>
      <c r="B277" s="7"/>
    </row>
    <row r="278" spans="1:2" ht="17.25" thickBot="1" x14ac:dyDescent="0.25">
      <c r="A278" s="7"/>
      <c r="B278" s="7"/>
    </row>
    <row r="279" spans="1:2" ht="17.25" thickBot="1" x14ac:dyDescent="0.25">
      <c r="A279" s="7"/>
      <c r="B279" s="7"/>
    </row>
    <row r="280" spans="1:2" ht="17.25" thickBot="1" x14ac:dyDescent="0.25">
      <c r="A280" s="7"/>
      <c r="B280" s="7"/>
    </row>
    <row r="281" spans="1:2" ht="17.25" thickBot="1" x14ac:dyDescent="0.25">
      <c r="A281" s="7"/>
      <c r="B281" s="7"/>
    </row>
    <row r="282" spans="1:2" ht="17.25" thickBot="1" x14ac:dyDescent="0.25">
      <c r="A282" s="7"/>
      <c r="B282" s="7"/>
    </row>
    <row r="283" spans="1:2" ht="17.25" thickBot="1" x14ac:dyDescent="0.25">
      <c r="A283" s="7"/>
      <c r="B283" s="7"/>
    </row>
    <row r="284" spans="1:2" ht="17.25" thickBot="1" x14ac:dyDescent="0.25">
      <c r="A284" s="7"/>
      <c r="B284" s="7"/>
    </row>
    <row r="285" spans="1:2" ht="17.25" thickBot="1" x14ac:dyDescent="0.25">
      <c r="A285" s="7"/>
      <c r="B285" s="7"/>
    </row>
    <row r="286" spans="1:2" ht="17.25" thickBot="1" x14ac:dyDescent="0.25">
      <c r="A286" s="7"/>
      <c r="B286" s="7"/>
    </row>
    <row r="287" spans="1:2" ht="17.25" thickBot="1" x14ac:dyDescent="0.25">
      <c r="A287" s="7"/>
      <c r="B287" s="7"/>
    </row>
    <row r="288" spans="1:2" ht="17.25" thickBot="1" x14ac:dyDescent="0.25">
      <c r="A288" s="7"/>
      <c r="B288" s="7"/>
    </row>
    <row r="289" spans="1:2" ht="17.25" thickBot="1" x14ac:dyDescent="0.25">
      <c r="A289" s="7"/>
      <c r="B289" s="7"/>
    </row>
    <row r="290" spans="1:2" ht="17.25" thickBot="1" x14ac:dyDescent="0.25">
      <c r="A290" s="7"/>
      <c r="B290" s="7"/>
    </row>
    <row r="291" spans="1:2" ht="17.25" thickBot="1" x14ac:dyDescent="0.25">
      <c r="A291" s="7"/>
      <c r="B291" s="7"/>
    </row>
    <row r="292" spans="1:2" ht="17.25" thickBot="1" x14ac:dyDescent="0.25">
      <c r="A292" s="7"/>
      <c r="B292" s="7"/>
    </row>
    <row r="293" spans="1:2" ht="17.25" thickBot="1" x14ac:dyDescent="0.25">
      <c r="A293" s="7"/>
      <c r="B293" s="7"/>
    </row>
    <row r="294" spans="1:2" ht="17.25" thickBot="1" x14ac:dyDescent="0.25">
      <c r="A294" s="7"/>
      <c r="B294" s="7"/>
    </row>
    <row r="295" spans="1:2" ht="17.25" thickBot="1" x14ac:dyDescent="0.25">
      <c r="A295" s="7"/>
      <c r="B295" s="7"/>
    </row>
    <row r="296" spans="1:2" ht="17.25" thickBot="1" x14ac:dyDescent="0.25">
      <c r="A296" s="7"/>
      <c r="B296" s="7"/>
    </row>
    <row r="297" spans="1:2" ht="17.25" thickBot="1" x14ac:dyDescent="0.25">
      <c r="A297" s="7"/>
      <c r="B297" s="7"/>
    </row>
    <row r="298" spans="1:2" ht="17.25" thickBot="1" x14ac:dyDescent="0.25">
      <c r="A298" s="7"/>
      <c r="B298" s="7"/>
    </row>
    <row r="299" spans="1:2" ht="17.25" thickBot="1" x14ac:dyDescent="0.25">
      <c r="A299" s="7"/>
      <c r="B299" s="7"/>
    </row>
    <row r="300" spans="1:2" ht="17.25" thickBot="1" x14ac:dyDescent="0.25">
      <c r="A300" s="7"/>
      <c r="B300" s="7"/>
    </row>
    <row r="301" spans="1:2" ht="17.25" thickBot="1" x14ac:dyDescent="0.25">
      <c r="A301" s="7"/>
      <c r="B301" s="7"/>
    </row>
    <row r="302" spans="1:2" ht="17.25" thickBot="1" x14ac:dyDescent="0.25">
      <c r="A302" s="7"/>
      <c r="B302" s="7"/>
    </row>
    <row r="303" spans="1:2" ht="17.25" thickBot="1" x14ac:dyDescent="0.25">
      <c r="A303" s="7"/>
      <c r="B303" s="7"/>
    </row>
    <row r="304" spans="1:2" ht="17.25" thickBot="1" x14ac:dyDescent="0.25">
      <c r="A304" s="7"/>
      <c r="B304" s="7"/>
    </row>
    <row r="305" spans="1:2" ht="17.25" thickBot="1" x14ac:dyDescent="0.25">
      <c r="A305" s="7"/>
      <c r="B305" s="7"/>
    </row>
    <row r="306" spans="1:2" ht="17.25" thickBot="1" x14ac:dyDescent="0.25">
      <c r="A306" s="7"/>
      <c r="B306" s="7"/>
    </row>
    <row r="307" spans="1:2" ht="17.25" thickBot="1" x14ac:dyDescent="0.25">
      <c r="A307" s="7"/>
      <c r="B307" s="7"/>
    </row>
    <row r="308" spans="1:2" ht="17.25" thickBot="1" x14ac:dyDescent="0.25">
      <c r="A308" s="7"/>
      <c r="B308" s="7"/>
    </row>
    <row r="309" spans="1:2" ht="17.25" thickBot="1" x14ac:dyDescent="0.25">
      <c r="A309" s="7"/>
      <c r="B309" s="7"/>
    </row>
    <row r="310" spans="1:2" ht="17.25" thickBot="1" x14ac:dyDescent="0.25">
      <c r="A310" s="7"/>
      <c r="B310" s="7"/>
    </row>
    <row r="311" spans="1:2" ht="17.25" thickBot="1" x14ac:dyDescent="0.25">
      <c r="A311" s="7"/>
      <c r="B311" s="7"/>
    </row>
    <row r="312" spans="1:2" ht="17.25" thickBot="1" x14ac:dyDescent="0.25">
      <c r="A312" s="7"/>
      <c r="B312" s="7"/>
    </row>
    <row r="313" spans="1:2" ht="17.25" thickBot="1" x14ac:dyDescent="0.25">
      <c r="A313" s="7"/>
      <c r="B313" s="7"/>
    </row>
    <row r="314" spans="1:2" ht="17.25" thickBot="1" x14ac:dyDescent="0.25">
      <c r="A314" s="7"/>
      <c r="B314" s="7"/>
    </row>
    <row r="315" spans="1:2" ht="17.25" thickBot="1" x14ac:dyDescent="0.25">
      <c r="A315" s="7"/>
      <c r="B315" s="7"/>
    </row>
    <row r="316" spans="1:2" ht="17.25" thickBot="1" x14ac:dyDescent="0.25">
      <c r="A316" s="7"/>
      <c r="B316" s="7"/>
    </row>
    <row r="317" spans="1:2" ht="17.25" thickBot="1" x14ac:dyDescent="0.25">
      <c r="A317" s="7"/>
      <c r="B317" s="7"/>
    </row>
    <row r="318" spans="1:2" ht="17.25" thickBot="1" x14ac:dyDescent="0.25">
      <c r="A318" s="7"/>
      <c r="B318" s="7"/>
    </row>
    <row r="319" spans="1:2" ht="17.25" thickBot="1" x14ac:dyDescent="0.25">
      <c r="A319" s="7"/>
      <c r="B319" s="7"/>
    </row>
    <row r="320" spans="1:2" ht="17.25" thickBot="1" x14ac:dyDescent="0.25">
      <c r="A320" s="7"/>
      <c r="B320" s="7"/>
    </row>
    <row r="321" spans="1:2" ht="17.25" thickBot="1" x14ac:dyDescent="0.25">
      <c r="A321" s="7"/>
      <c r="B321" s="7"/>
    </row>
    <row r="322" spans="1:2" ht="17.25" thickBot="1" x14ac:dyDescent="0.25">
      <c r="A322" s="7"/>
      <c r="B322" s="7"/>
    </row>
    <row r="323" spans="1:2" ht="17.25" thickBot="1" x14ac:dyDescent="0.25">
      <c r="A323" s="7"/>
      <c r="B323" s="7"/>
    </row>
    <row r="324" spans="1:2" ht="17.25" thickBot="1" x14ac:dyDescent="0.25">
      <c r="A324" s="7"/>
      <c r="B324" s="7"/>
    </row>
    <row r="325" spans="1:2" ht="17.25" thickBot="1" x14ac:dyDescent="0.25">
      <c r="A325" s="7"/>
      <c r="B325" s="7"/>
    </row>
    <row r="326" spans="1:2" ht="17.25" thickBot="1" x14ac:dyDescent="0.25">
      <c r="A326" s="7"/>
      <c r="B326" s="7"/>
    </row>
    <row r="327" spans="1:2" ht="17.25" thickBot="1" x14ac:dyDescent="0.25">
      <c r="A327" s="7"/>
      <c r="B327" s="7"/>
    </row>
    <row r="328" spans="1:2" ht="17.25" thickBot="1" x14ac:dyDescent="0.25">
      <c r="A328" s="7"/>
      <c r="B328" s="7"/>
    </row>
    <row r="329" spans="1:2" ht="17.25" thickBot="1" x14ac:dyDescent="0.25">
      <c r="A329" s="7"/>
      <c r="B329" s="7"/>
    </row>
    <row r="330" spans="1:2" ht="17.25" thickBot="1" x14ac:dyDescent="0.25">
      <c r="A330" s="7"/>
      <c r="B330" s="7"/>
    </row>
    <row r="331" spans="1:2" ht="17.25" thickBot="1" x14ac:dyDescent="0.25">
      <c r="A331" s="7"/>
      <c r="B331" s="7"/>
    </row>
    <row r="332" spans="1:2" ht="17.25" thickBot="1" x14ac:dyDescent="0.25">
      <c r="A332" s="7"/>
      <c r="B332" s="7"/>
    </row>
    <row r="333" spans="1:2" ht="17.25" thickBot="1" x14ac:dyDescent="0.25">
      <c r="A333" s="7"/>
      <c r="B333" s="7"/>
    </row>
    <row r="334" spans="1:2" ht="17.25" thickBot="1" x14ac:dyDescent="0.25">
      <c r="A334" s="7"/>
      <c r="B334" s="7"/>
    </row>
    <row r="335" spans="1:2" ht="17.25" thickBot="1" x14ac:dyDescent="0.25">
      <c r="A335" s="7"/>
      <c r="B335" s="7"/>
    </row>
    <row r="336" spans="1:2" ht="17.25" thickBot="1" x14ac:dyDescent="0.25">
      <c r="A336" s="7"/>
      <c r="B336" s="7"/>
    </row>
    <row r="337" spans="1:2" ht="17.25" thickBot="1" x14ac:dyDescent="0.25">
      <c r="A337" s="7"/>
      <c r="B337" s="7"/>
    </row>
    <row r="338" spans="1:2" ht="17.25" thickBot="1" x14ac:dyDescent="0.25">
      <c r="A338" s="7"/>
      <c r="B338" s="7"/>
    </row>
    <row r="339" spans="1:2" ht="17.25" thickBot="1" x14ac:dyDescent="0.25">
      <c r="A339" s="7"/>
      <c r="B339" s="7"/>
    </row>
    <row r="340" spans="1:2" ht="17.25" thickBot="1" x14ac:dyDescent="0.25">
      <c r="A340" s="7"/>
      <c r="B340" s="7"/>
    </row>
    <row r="341" spans="1:2" ht="17.25" thickBot="1" x14ac:dyDescent="0.25">
      <c r="A341" s="7"/>
      <c r="B341" s="7"/>
    </row>
    <row r="342" spans="1:2" ht="17.25" thickBot="1" x14ac:dyDescent="0.25">
      <c r="A342" s="7"/>
      <c r="B342" s="7"/>
    </row>
    <row r="343" spans="1:2" ht="17.25" thickBot="1" x14ac:dyDescent="0.25">
      <c r="A343" s="7"/>
      <c r="B343" s="7"/>
    </row>
    <row r="344" spans="1:2" ht="17.25" thickBot="1" x14ac:dyDescent="0.25">
      <c r="A344" s="7"/>
      <c r="B344" s="7"/>
    </row>
    <row r="345" spans="1:2" ht="17.25" thickBot="1" x14ac:dyDescent="0.25">
      <c r="A345" s="7"/>
      <c r="B345" s="7"/>
    </row>
    <row r="346" spans="1:2" ht="17.25" thickBot="1" x14ac:dyDescent="0.25">
      <c r="A346" s="7"/>
      <c r="B346" s="7"/>
    </row>
    <row r="347" spans="1:2" ht="17.25" thickBot="1" x14ac:dyDescent="0.25">
      <c r="A347" s="7"/>
      <c r="B347" s="7"/>
    </row>
    <row r="348" spans="1:2" ht="17.25" thickBot="1" x14ac:dyDescent="0.25">
      <c r="A348" s="7"/>
      <c r="B348" s="7"/>
    </row>
    <row r="349" spans="1:2" ht="17.25" thickBot="1" x14ac:dyDescent="0.25">
      <c r="A349" s="7"/>
      <c r="B349" s="7"/>
    </row>
    <row r="350" spans="1:2" ht="17.25" thickBot="1" x14ac:dyDescent="0.25">
      <c r="A350" s="7"/>
      <c r="B350" s="7"/>
    </row>
    <row r="351" spans="1:2" ht="17.25" thickBot="1" x14ac:dyDescent="0.25">
      <c r="A351" s="7"/>
      <c r="B351" s="7"/>
    </row>
    <row r="352" spans="1:2" ht="17.25" thickBot="1" x14ac:dyDescent="0.25">
      <c r="A352" s="7"/>
      <c r="B352" s="7"/>
    </row>
    <row r="353" spans="1:2" ht="17.25" thickBot="1" x14ac:dyDescent="0.25">
      <c r="A353" s="7"/>
      <c r="B353" s="7"/>
    </row>
    <row r="354" spans="1:2" ht="17.25" thickBot="1" x14ac:dyDescent="0.25">
      <c r="A354" s="7"/>
      <c r="B354" s="7"/>
    </row>
    <row r="355" spans="1:2" ht="17.25" thickBot="1" x14ac:dyDescent="0.25">
      <c r="A355" s="7"/>
      <c r="B355" s="7"/>
    </row>
    <row r="356" spans="1:2" ht="17.25" thickBot="1" x14ac:dyDescent="0.25">
      <c r="A356" s="7"/>
      <c r="B356" s="7"/>
    </row>
    <row r="357" spans="1:2" ht="17.25" thickBot="1" x14ac:dyDescent="0.25">
      <c r="A357" s="7"/>
      <c r="B357" s="7"/>
    </row>
    <row r="358" spans="1:2" ht="17.25" thickBot="1" x14ac:dyDescent="0.25">
      <c r="A358" s="7"/>
      <c r="B358" s="7"/>
    </row>
    <row r="359" spans="1:2" ht="17.25" thickBot="1" x14ac:dyDescent="0.25">
      <c r="A359" s="7"/>
      <c r="B359" s="7"/>
    </row>
    <row r="360" spans="1:2" ht="17.25" thickBot="1" x14ac:dyDescent="0.25">
      <c r="A360" s="7"/>
      <c r="B360" s="7"/>
    </row>
    <row r="361" spans="1:2" ht="17.25" thickBot="1" x14ac:dyDescent="0.25">
      <c r="A361" s="7"/>
      <c r="B361" s="7"/>
    </row>
    <row r="362" spans="1:2" ht="17.25" thickBot="1" x14ac:dyDescent="0.25">
      <c r="A362" s="7"/>
      <c r="B362" s="7"/>
    </row>
    <row r="363" spans="1:2" ht="17.25" thickBot="1" x14ac:dyDescent="0.25">
      <c r="A363" s="7"/>
      <c r="B363" s="7"/>
    </row>
    <row r="364" spans="1:2" ht="17.25" thickBot="1" x14ac:dyDescent="0.25">
      <c r="A364" s="7"/>
      <c r="B364" s="7"/>
    </row>
    <row r="365" spans="1:2" ht="17.25" thickBot="1" x14ac:dyDescent="0.25">
      <c r="A365" s="7"/>
      <c r="B365" s="7"/>
    </row>
    <row r="366" spans="1:2" ht="17.25" thickBot="1" x14ac:dyDescent="0.25">
      <c r="A366" s="7"/>
      <c r="B366" s="7"/>
    </row>
    <row r="367" spans="1:2" ht="17.25" thickBot="1" x14ac:dyDescent="0.25">
      <c r="A367" s="7"/>
      <c r="B367" s="7"/>
    </row>
    <row r="368" spans="1:2" ht="17.25" thickBot="1" x14ac:dyDescent="0.25">
      <c r="A368" s="7"/>
      <c r="B368" s="7"/>
    </row>
    <row r="369" spans="1:2" ht="17.25" thickBot="1" x14ac:dyDescent="0.25">
      <c r="A369" s="7"/>
      <c r="B369" s="7"/>
    </row>
    <row r="370" spans="1:2" ht="17.25" thickBot="1" x14ac:dyDescent="0.25">
      <c r="A370" s="7"/>
      <c r="B370" s="7"/>
    </row>
    <row r="371" spans="1:2" ht="17.25" thickBot="1" x14ac:dyDescent="0.25">
      <c r="A371" s="7"/>
      <c r="B371" s="7"/>
    </row>
    <row r="372" spans="1:2" ht="17.25" thickBot="1" x14ac:dyDescent="0.25">
      <c r="A372" s="7"/>
      <c r="B372" s="7"/>
    </row>
    <row r="373" spans="1:2" ht="17.25" thickBot="1" x14ac:dyDescent="0.25">
      <c r="A373" s="7"/>
      <c r="B373" s="7"/>
    </row>
    <row r="374" spans="1:2" ht="17.25" thickBot="1" x14ac:dyDescent="0.25">
      <c r="A374" s="7"/>
      <c r="B374" s="7"/>
    </row>
    <row r="375" spans="1:2" ht="17.25" thickBot="1" x14ac:dyDescent="0.25">
      <c r="A375" s="7"/>
      <c r="B375" s="7"/>
    </row>
    <row r="376" spans="1:2" ht="17.25" thickBot="1" x14ac:dyDescent="0.25">
      <c r="A376" s="7"/>
      <c r="B376" s="7"/>
    </row>
    <row r="377" spans="1:2" ht="17.25" thickBot="1" x14ac:dyDescent="0.25">
      <c r="A377" s="7"/>
      <c r="B377" s="7"/>
    </row>
    <row r="378" spans="1:2" ht="17.25" thickBot="1" x14ac:dyDescent="0.25">
      <c r="A378" s="7"/>
      <c r="B378" s="7"/>
    </row>
    <row r="379" spans="1:2" ht="17.25" thickBot="1" x14ac:dyDescent="0.25">
      <c r="A379" s="7"/>
      <c r="B379" s="7"/>
    </row>
    <row r="380" spans="1:2" ht="17.25" thickBot="1" x14ac:dyDescent="0.25">
      <c r="A380" s="7"/>
      <c r="B380" s="7"/>
    </row>
    <row r="381" spans="1:2" ht="17.25" thickBot="1" x14ac:dyDescent="0.25">
      <c r="A381" s="7"/>
      <c r="B381" s="7"/>
    </row>
    <row r="382" spans="1:2" ht="17.25" thickBot="1" x14ac:dyDescent="0.25">
      <c r="A382" s="7"/>
      <c r="B382" s="7"/>
    </row>
    <row r="383" spans="1:2" ht="17.25" thickBot="1" x14ac:dyDescent="0.25">
      <c r="A383" s="7"/>
      <c r="B383" s="7"/>
    </row>
    <row r="384" spans="1:2" ht="17.25" thickBot="1" x14ac:dyDescent="0.25">
      <c r="A384" s="7"/>
      <c r="B384" s="7"/>
    </row>
    <row r="385" spans="1:2" ht="17.25" thickBot="1" x14ac:dyDescent="0.25">
      <c r="A385" s="7"/>
      <c r="B385" s="7"/>
    </row>
    <row r="386" spans="1:2" ht="17.25" thickBot="1" x14ac:dyDescent="0.25">
      <c r="A386" s="7"/>
      <c r="B386" s="7"/>
    </row>
    <row r="387" spans="1:2" ht="17.25" thickBot="1" x14ac:dyDescent="0.25">
      <c r="A387" s="7"/>
      <c r="B387" s="7"/>
    </row>
    <row r="388" spans="1:2" ht="17.25" thickBot="1" x14ac:dyDescent="0.25">
      <c r="A388" s="7"/>
      <c r="B388" s="7"/>
    </row>
    <row r="389" spans="1:2" ht="17.25" thickBot="1" x14ac:dyDescent="0.25">
      <c r="A389" s="7"/>
      <c r="B389" s="7"/>
    </row>
    <row r="390" spans="1:2" ht="17.25" thickBot="1" x14ac:dyDescent="0.25">
      <c r="A390" s="7"/>
      <c r="B390" s="7"/>
    </row>
    <row r="391" spans="1:2" ht="17.25" thickBot="1" x14ac:dyDescent="0.25">
      <c r="A391" s="7"/>
      <c r="B391" s="7"/>
    </row>
    <row r="392" spans="1:2" ht="17.25" thickBot="1" x14ac:dyDescent="0.25">
      <c r="A392" s="7"/>
      <c r="B392" s="7"/>
    </row>
    <row r="393" spans="1:2" ht="17.25" thickBot="1" x14ac:dyDescent="0.25">
      <c r="A393" s="7"/>
      <c r="B393" s="7"/>
    </row>
    <row r="394" spans="1:2" ht="17.25" thickBot="1" x14ac:dyDescent="0.25">
      <c r="A394" s="7"/>
      <c r="B394" s="7"/>
    </row>
    <row r="395" spans="1:2" ht="17.25" thickBot="1" x14ac:dyDescent="0.25">
      <c r="A395" s="7"/>
      <c r="B395" s="7"/>
    </row>
    <row r="396" spans="1:2" ht="17.25" thickBot="1" x14ac:dyDescent="0.25">
      <c r="A396" s="7"/>
      <c r="B396" s="7"/>
    </row>
    <row r="397" spans="1:2" ht="17.25" thickBot="1" x14ac:dyDescent="0.25">
      <c r="A397" s="7"/>
      <c r="B397" s="7"/>
    </row>
    <row r="398" spans="1:2" ht="17.25" thickBot="1" x14ac:dyDescent="0.25">
      <c r="A398" s="7"/>
      <c r="B398" s="7"/>
    </row>
    <row r="399" spans="1:2" ht="17.25" thickBot="1" x14ac:dyDescent="0.25">
      <c r="A399" s="7"/>
      <c r="B399" s="7"/>
    </row>
    <row r="400" spans="1:2" ht="17.25" thickBot="1" x14ac:dyDescent="0.25">
      <c r="A400" s="7"/>
      <c r="B400" s="7"/>
    </row>
    <row r="401" spans="1:2" ht="17.25" thickBot="1" x14ac:dyDescent="0.25">
      <c r="A401" s="7"/>
      <c r="B401" s="7"/>
    </row>
    <row r="402" spans="1:2" ht="17.25" thickBot="1" x14ac:dyDescent="0.25">
      <c r="A402" s="7"/>
      <c r="B402" s="7"/>
    </row>
    <row r="403" spans="1:2" ht="17.25" thickBot="1" x14ac:dyDescent="0.25">
      <c r="A403" s="7"/>
      <c r="B403" s="7"/>
    </row>
    <row r="404" spans="1:2" ht="17.25" thickBot="1" x14ac:dyDescent="0.25">
      <c r="A404" s="7"/>
      <c r="B404" s="7"/>
    </row>
    <row r="405" spans="1:2" ht="17.25" thickBot="1" x14ac:dyDescent="0.25">
      <c r="A405" s="7"/>
      <c r="B405" s="7"/>
    </row>
    <row r="406" spans="1:2" ht="17.25" thickBot="1" x14ac:dyDescent="0.25">
      <c r="A406" s="7"/>
      <c r="B406" s="7"/>
    </row>
    <row r="407" spans="1:2" ht="17.25" thickBot="1" x14ac:dyDescent="0.25">
      <c r="A407" s="7"/>
      <c r="B407" s="7"/>
    </row>
    <row r="408" spans="1:2" ht="17.25" thickBot="1" x14ac:dyDescent="0.25">
      <c r="A408" s="7"/>
      <c r="B408" s="7"/>
    </row>
    <row r="409" spans="1:2" ht="17.25" thickBot="1" x14ac:dyDescent="0.25">
      <c r="A409" s="7"/>
      <c r="B409" s="7"/>
    </row>
    <row r="410" spans="1:2" ht="17.25" thickBot="1" x14ac:dyDescent="0.25">
      <c r="A410" s="7"/>
      <c r="B410" s="7"/>
    </row>
    <row r="411" spans="1:2" ht="17.25" thickBot="1" x14ac:dyDescent="0.25">
      <c r="A411" s="7"/>
      <c r="B411" s="7"/>
    </row>
    <row r="412" spans="1:2" ht="17.25" thickBot="1" x14ac:dyDescent="0.25">
      <c r="A412" s="7"/>
      <c r="B412" s="7"/>
    </row>
    <row r="413" spans="1:2" ht="17.25" thickBot="1" x14ac:dyDescent="0.25">
      <c r="A413" s="7"/>
      <c r="B413" s="7"/>
    </row>
    <row r="414" spans="1:2" ht="17.25" thickBot="1" x14ac:dyDescent="0.25">
      <c r="A414" s="7"/>
      <c r="B414" s="7"/>
    </row>
    <row r="415" spans="1:2" ht="17.25" thickBot="1" x14ac:dyDescent="0.25">
      <c r="A415" s="7"/>
      <c r="B415" s="7"/>
    </row>
    <row r="416" spans="1:2" ht="17.25" thickBot="1" x14ac:dyDescent="0.25">
      <c r="A416" s="7"/>
      <c r="B416" s="7"/>
    </row>
    <row r="417" spans="1:2" ht="17.25" thickBot="1" x14ac:dyDescent="0.25">
      <c r="A417" s="7"/>
      <c r="B417" s="7"/>
    </row>
    <row r="418" spans="1:2" ht="17.25" thickBot="1" x14ac:dyDescent="0.25">
      <c r="A418" s="7"/>
      <c r="B418" s="7"/>
    </row>
    <row r="419" spans="1:2" ht="17.25" thickBot="1" x14ac:dyDescent="0.25">
      <c r="A419" s="7"/>
      <c r="B419" s="7"/>
    </row>
    <row r="420" spans="1:2" ht="17.25" thickBot="1" x14ac:dyDescent="0.25">
      <c r="A420" s="7"/>
      <c r="B420" s="7"/>
    </row>
    <row r="421" spans="1:2" ht="17.25" thickBot="1" x14ac:dyDescent="0.25">
      <c r="A421" s="7"/>
      <c r="B421" s="7"/>
    </row>
    <row r="422" spans="1:2" ht="17.25" thickBot="1" x14ac:dyDescent="0.25">
      <c r="A422" s="7"/>
      <c r="B422" s="7"/>
    </row>
    <row r="423" spans="1:2" ht="17.25" thickBot="1" x14ac:dyDescent="0.25">
      <c r="A423" s="7"/>
      <c r="B423" s="7"/>
    </row>
    <row r="424" spans="1:2" ht="17.25" thickBot="1" x14ac:dyDescent="0.25">
      <c r="A424" s="7"/>
      <c r="B424" s="7"/>
    </row>
    <row r="425" spans="1:2" ht="17.25" thickBot="1" x14ac:dyDescent="0.25">
      <c r="A425" s="7"/>
      <c r="B425" s="7"/>
    </row>
    <row r="426" spans="1:2" ht="17.25" thickBot="1" x14ac:dyDescent="0.25">
      <c r="A426" s="7"/>
      <c r="B426" s="7"/>
    </row>
    <row r="427" spans="1:2" ht="17.25" thickBot="1" x14ac:dyDescent="0.25">
      <c r="A427" s="7"/>
      <c r="B427" s="7"/>
    </row>
    <row r="428" spans="1:2" ht="17.25" thickBot="1" x14ac:dyDescent="0.25">
      <c r="A428" s="7"/>
      <c r="B428" s="7"/>
    </row>
    <row r="429" spans="1:2" ht="17.25" thickBot="1" x14ac:dyDescent="0.25">
      <c r="A429" s="7"/>
      <c r="B429" s="7"/>
    </row>
    <row r="430" spans="1:2" ht="17.25" thickBot="1" x14ac:dyDescent="0.25">
      <c r="A430" s="7"/>
      <c r="B430" s="7"/>
    </row>
    <row r="431" spans="1:2" ht="17.25" thickBot="1" x14ac:dyDescent="0.25">
      <c r="A431" s="7"/>
      <c r="B431" s="7"/>
    </row>
    <row r="432" spans="1:2" ht="17.25" thickBot="1" x14ac:dyDescent="0.25">
      <c r="A432" s="7"/>
      <c r="B432" s="7"/>
    </row>
    <row r="433" spans="1:2" ht="17.25" thickBot="1" x14ac:dyDescent="0.25">
      <c r="A433" s="7"/>
      <c r="B433" s="7"/>
    </row>
    <row r="434" spans="1:2" ht="17.25" thickBot="1" x14ac:dyDescent="0.25">
      <c r="A434" s="7"/>
      <c r="B434" s="7"/>
    </row>
    <row r="435" spans="1:2" ht="17.25" thickBot="1" x14ac:dyDescent="0.25">
      <c r="A435" s="7"/>
      <c r="B435" s="7"/>
    </row>
    <row r="436" spans="1:2" ht="17.25" thickBot="1" x14ac:dyDescent="0.25">
      <c r="A436" s="7"/>
      <c r="B436" s="7"/>
    </row>
    <row r="437" spans="1:2" ht="17.25" thickBot="1" x14ac:dyDescent="0.25">
      <c r="A437" s="7"/>
      <c r="B437" s="7"/>
    </row>
    <row r="438" spans="1:2" ht="17.25" thickBot="1" x14ac:dyDescent="0.25">
      <c r="A438" s="7"/>
      <c r="B438" s="7"/>
    </row>
    <row r="439" spans="1:2" ht="17.25" thickBot="1" x14ac:dyDescent="0.25">
      <c r="A439" s="7"/>
      <c r="B439" s="7"/>
    </row>
    <row r="440" spans="1:2" ht="17.25" thickBot="1" x14ac:dyDescent="0.25">
      <c r="A440" s="7"/>
      <c r="B440" s="7"/>
    </row>
    <row r="441" spans="1:2" ht="17.25" thickBot="1" x14ac:dyDescent="0.25">
      <c r="A441" s="7"/>
      <c r="B441" s="7"/>
    </row>
    <row r="442" spans="1:2" ht="17.25" thickBot="1" x14ac:dyDescent="0.25">
      <c r="A442" s="7"/>
      <c r="B442" s="7"/>
    </row>
    <row r="443" spans="1:2" ht="17.25" thickBot="1" x14ac:dyDescent="0.25">
      <c r="A443" s="7"/>
      <c r="B443" s="7"/>
    </row>
    <row r="444" spans="1:2" ht="17.25" thickBot="1" x14ac:dyDescent="0.25">
      <c r="A444" s="7"/>
      <c r="B444" s="7"/>
    </row>
    <row r="445" spans="1:2" ht="17.25" thickBot="1" x14ac:dyDescent="0.25">
      <c r="A445" s="7"/>
      <c r="B445" s="7"/>
    </row>
    <row r="446" spans="1:2" ht="17.25" thickBot="1" x14ac:dyDescent="0.25">
      <c r="A446" s="7"/>
      <c r="B446" s="7"/>
    </row>
    <row r="447" spans="1:2" ht="17.25" thickBot="1" x14ac:dyDescent="0.25">
      <c r="A447" s="7"/>
      <c r="B447" s="7"/>
    </row>
    <row r="448" spans="1:2" ht="17.25" thickBot="1" x14ac:dyDescent="0.25">
      <c r="A448" s="7"/>
      <c r="B448" s="7"/>
    </row>
    <row r="449" spans="1:2" ht="17.25" thickBot="1" x14ac:dyDescent="0.25">
      <c r="A449" s="7"/>
      <c r="B449" s="7"/>
    </row>
    <row r="450" spans="1:2" ht="17.25" thickBot="1" x14ac:dyDescent="0.25">
      <c r="A450" s="7"/>
      <c r="B450" s="7"/>
    </row>
    <row r="451" spans="1:2" ht="17.25" thickBot="1" x14ac:dyDescent="0.25">
      <c r="A451" s="7"/>
      <c r="B451" s="7"/>
    </row>
    <row r="452" spans="1:2" ht="17.25" thickBot="1" x14ac:dyDescent="0.25">
      <c r="A452" s="7"/>
      <c r="B452" s="7"/>
    </row>
    <row r="453" spans="1:2" ht="17.25" thickBot="1" x14ac:dyDescent="0.25">
      <c r="A453" s="7"/>
      <c r="B453" s="7"/>
    </row>
    <row r="454" spans="1:2" ht="17.25" thickBot="1" x14ac:dyDescent="0.25">
      <c r="A454" s="7"/>
      <c r="B454" s="7"/>
    </row>
    <row r="455" spans="1:2" ht="17.25" thickBot="1" x14ac:dyDescent="0.25">
      <c r="A455" s="7"/>
      <c r="B455" s="7"/>
    </row>
    <row r="456" spans="1:2" ht="17.25" thickBot="1" x14ac:dyDescent="0.25">
      <c r="A456" s="7"/>
      <c r="B456" s="7"/>
    </row>
    <row r="457" spans="1:2" ht="17.25" thickBot="1" x14ac:dyDescent="0.25">
      <c r="A457" s="7"/>
      <c r="B457" s="7"/>
    </row>
    <row r="458" spans="1:2" ht="17.25" thickBot="1" x14ac:dyDescent="0.25">
      <c r="A458" s="7"/>
      <c r="B458" s="7"/>
    </row>
    <row r="459" spans="1:2" ht="17.25" thickBot="1" x14ac:dyDescent="0.25">
      <c r="A459" s="7"/>
      <c r="B459" s="7"/>
    </row>
    <row r="460" spans="1:2" ht="17.25" thickBot="1" x14ac:dyDescent="0.25">
      <c r="A460" s="7"/>
      <c r="B460" s="7"/>
    </row>
    <row r="461" spans="1:2" ht="17.25" thickBot="1" x14ac:dyDescent="0.25">
      <c r="A461" s="7"/>
      <c r="B461" s="7"/>
    </row>
    <row r="462" spans="1:2" ht="17.25" thickBot="1" x14ac:dyDescent="0.25">
      <c r="A462" s="7"/>
      <c r="B462" s="7"/>
    </row>
    <row r="463" spans="1:2" ht="17.25" thickBot="1" x14ac:dyDescent="0.25">
      <c r="A463" s="7"/>
      <c r="B463" s="7"/>
    </row>
    <row r="464" spans="1:2" ht="17.25" thickBot="1" x14ac:dyDescent="0.25">
      <c r="A464" s="7"/>
      <c r="B464" s="7"/>
    </row>
    <row r="465" spans="1:2" ht="17.25" thickBot="1" x14ac:dyDescent="0.25">
      <c r="A465" s="7"/>
      <c r="B465" s="7"/>
    </row>
    <row r="466" spans="1:2" ht="17.25" thickBot="1" x14ac:dyDescent="0.25">
      <c r="A466" s="7"/>
      <c r="B466" s="7"/>
    </row>
    <row r="467" spans="1:2" ht="17.25" thickBot="1" x14ac:dyDescent="0.25">
      <c r="A467" s="7"/>
      <c r="B467" s="7"/>
    </row>
    <row r="468" spans="1:2" ht="17.25" thickBot="1" x14ac:dyDescent="0.25">
      <c r="A468" s="7"/>
      <c r="B468" s="7"/>
    </row>
    <row r="469" spans="1:2" ht="17.25" thickBot="1" x14ac:dyDescent="0.25">
      <c r="A469" s="7"/>
      <c r="B469" s="7"/>
    </row>
    <row r="470" spans="1:2" ht="17.25" thickBot="1" x14ac:dyDescent="0.25">
      <c r="A470" s="7"/>
      <c r="B470" s="7"/>
    </row>
    <row r="471" spans="1:2" ht="17.25" thickBot="1" x14ac:dyDescent="0.25">
      <c r="A471" s="7"/>
      <c r="B471" s="7"/>
    </row>
    <row r="472" spans="1:2" ht="17.25" thickBot="1" x14ac:dyDescent="0.25">
      <c r="A472" s="7"/>
      <c r="B472" s="7"/>
    </row>
    <row r="473" spans="1:2" ht="17.25" thickBot="1" x14ac:dyDescent="0.25">
      <c r="A473" s="7"/>
      <c r="B473" s="7"/>
    </row>
    <row r="474" spans="1:2" ht="17.25" thickBot="1" x14ac:dyDescent="0.25">
      <c r="A474" s="7"/>
      <c r="B474" s="7"/>
    </row>
    <row r="475" spans="1:2" ht="17.25" thickBot="1" x14ac:dyDescent="0.25">
      <c r="A475" s="7"/>
      <c r="B475" s="7"/>
    </row>
    <row r="476" spans="1:2" ht="17.25" thickBot="1" x14ac:dyDescent="0.25">
      <c r="A476" s="7"/>
      <c r="B476" s="7"/>
    </row>
    <row r="477" spans="1:2" ht="17.25" thickBot="1" x14ac:dyDescent="0.25">
      <c r="A477" s="7"/>
      <c r="B477" s="7"/>
    </row>
    <row r="478" spans="1:2" ht="17.25" thickBot="1" x14ac:dyDescent="0.25">
      <c r="A478" s="7"/>
      <c r="B478" s="7"/>
    </row>
    <row r="479" spans="1:2" ht="17.25" thickBot="1" x14ac:dyDescent="0.25">
      <c r="A479" s="7"/>
      <c r="B479" s="7"/>
    </row>
    <row r="480" spans="1:2" ht="17.25" thickBot="1" x14ac:dyDescent="0.25">
      <c r="A480" s="7"/>
      <c r="B480" s="7"/>
    </row>
    <row r="481" spans="1:2" ht="17.25" thickBot="1" x14ac:dyDescent="0.25">
      <c r="A481" s="7"/>
      <c r="B481" s="7"/>
    </row>
    <row r="482" spans="1:2" ht="17.25" thickBot="1" x14ac:dyDescent="0.25">
      <c r="A482" s="7"/>
      <c r="B482" s="7"/>
    </row>
    <row r="483" spans="1:2" ht="17.25" thickBot="1" x14ac:dyDescent="0.25">
      <c r="A483" s="7"/>
      <c r="B483" s="7"/>
    </row>
    <row r="484" spans="1:2" ht="17.25" thickBot="1" x14ac:dyDescent="0.25">
      <c r="A484" s="7"/>
      <c r="B484" s="7"/>
    </row>
    <row r="485" spans="1:2" ht="17.25" thickBot="1" x14ac:dyDescent="0.25">
      <c r="A485" s="7"/>
      <c r="B485" s="7"/>
    </row>
    <row r="486" spans="1:2" ht="17.25" thickBot="1" x14ac:dyDescent="0.25">
      <c r="A486" s="7"/>
      <c r="B486" s="7"/>
    </row>
    <row r="487" spans="1:2" ht="17.25" thickBot="1" x14ac:dyDescent="0.25">
      <c r="A487" s="7"/>
      <c r="B487" s="7"/>
    </row>
    <row r="488" spans="1:2" ht="17.25" thickBot="1" x14ac:dyDescent="0.25">
      <c r="A488" s="7"/>
      <c r="B488" s="7"/>
    </row>
    <row r="489" spans="1:2" ht="17.25" thickBot="1" x14ac:dyDescent="0.25">
      <c r="A489" s="7"/>
      <c r="B489" s="7"/>
    </row>
    <row r="490" spans="1:2" ht="17.25" thickBot="1" x14ac:dyDescent="0.25">
      <c r="A490" s="7"/>
      <c r="B490" s="7"/>
    </row>
    <row r="491" spans="1:2" ht="17.25" thickBot="1" x14ac:dyDescent="0.25">
      <c r="A491" s="7"/>
      <c r="B491" s="7"/>
    </row>
    <row r="492" spans="1:2" ht="17.25" thickBot="1" x14ac:dyDescent="0.25">
      <c r="A492" s="7"/>
      <c r="B492" s="7"/>
    </row>
    <row r="493" spans="1:2" ht="17.25" thickBot="1" x14ac:dyDescent="0.25">
      <c r="A493" s="7"/>
      <c r="B493" s="7"/>
    </row>
    <row r="494" spans="1:2" ht="17.25" thickBot="1" x14ac:dyDescent="0.25">
      <c r="A494" s="7"/>
      <c r="B494" s="7"/>
    </row>
    <row r="495" spans="1:2" ht="17.25" thickBot="1" x14ac:dyDescent="0.25">
      <c r="A495" s="7"/>
      <c r="B495" s="7"/>
    </row>
    <row r="496" spans="1:2" ht="17.25" thickBot="1" x14ac:dyDescent="0.25">
      <c r="A496" s="7"/>
      <c r="B496" s="7"/>
    </row>
    <row r="497" spans="1:2" ht="17.25" thickBot="1" x14ac:dyDescent="0.25">
      <c r="A497" s="7"/>
      <c r="B497" s="7"/>
    </row>
    <row r="498" spans="1:2" ht="17.25" thickBot="1" x14ac:dyDescent="0.25">
      <c r="A498" s="7"/>
      <c r="B498" s="7"/>
    </row>
    <row r="499" spans="1:2" ht="17.25" thickBot="1" x14ac:dyDescent="0.25">
      <c r="A499" s="7"/>
      <c r="B499" s="7"/>
    </row>
    <row r="500" spans="1:2" ht="17.25" thickBot="1" x14ac:dyDescent="0.25">
      <c r="A500" s="7"/>
      <c r="B500" s="7"/>
    </row>
    <row r="501" spans="1:2" ht="17.25" thickBot="1" x14ac:dyDescent="0.25">
      <c r="A501" s="7"/>
      <c r="B501" s="7"/>
    </row>
    <row r="502" spans="1:2" ht="17.25" thickBot="1" x14ac:dyDescent="0.25">
      <c r="A502" s="7"/>
      <c r="B502" s="7"/>
    </row>
    <row r="503" spans="1:2" ht="17.25" thickBot="1" x14ac:dyDescent="0.25">
      <c r="A503" s="7"/>
      <c r="B503" s="7"/>
    </row>
    <row r="504" spans="1:2" ht="17.25" thickBot="1" x14ac:dyDescent="0.25">
      <c r="A504" s="7"/>
      <c r="B504" s="7"/>
    </row>
    <row r="505" spans="1:2" ht="17.25" thickBot="1" x14ac:dyDescent="0.25">
      <c r="A505" s="7"/>
      <c r="B505" s="7"/>
    </row>
    <row r="506" spans="1:2" ht="17.25" thickBot="1" x14ac:dyDescent="0.25">
      <c r="A506" s="7"/>
      <c r="B506" s="7"/>
    </row>
    <row r="507" spans="1:2" ht="17.25" thickBot="1" x14ac:dyDescent="0.25">
      <c r="A507" s="7"/>
      <c r="B507" s="7"/>
    </row>
    <row r="508" spans="1:2" ht="17.25" thickBot="1" x14ac:dyDescent="0.25">
      <c r="A508" s="7"/>
      <c r="B508" s="7"/>
    </row>
    <row r="509" spans="1:2" ht="17.25" thickBot="1" x14ac:dyDescent="0.25">
      <c r="A509" s="7"/>
      <c r="B509" s="7"/>
    </row>
    <row r="510" spans="1:2" ht="17.25" thickBot="1" x14ac:dyDescent="0.25">
      <c r="A510" s="7"/>
      <c r="B510" s="7"/>
    </row>
    <row r="511" spans="1:2" ht="17.25" thickBot="1" x14ac:dyDescent="0.25">
      <c r="A511" s="7"/>
      <c r="B511" s="7"/>
    </row>
    <row r="512" spans="1:2" ht="17.25" thickBot="1" x14ac:dyDescent="0.25">
      <c r="A512" s="7"/>
      <c r="B512" s="7"/>
    </row>
    <row r="513" spans="1:2" ht="17.25" thickBot="1" x14ac:dyDescent="0.25">
      <c r="A513" s="7"/>
      <c r="B513" s="7"/>
    </row>
    <row r="514" spans="1:2" ht="17.25" thickBot="1" x14ac:dyDescent="0.25">
      <c r="A514" s="25">
        <v>65</v>
      </c>
      <c r="B514" s="25" t="s">
        <v>215</v>
      </c>
    </row>
    <row r="515" spans="1:2" ht="17.25" thickBot="1" x14ac:dyDescent="0.25">
      <c r="A515" s="25">
        <v>65</v>
      </c>
      <c r="B515" s="25" t="s">
        <v>215</v>
      </c>
    </row>
    <row r="516" spans="1:2" ht="17.25" thickBot="1" x14ac:dyDescent="0.25">
      <c r="A516" s="25">
        <v>65</v>
      </c>
      <c r="B516" s="25" t="s">
        <v>215</v>
      </c>
    </row>
    <row r="517" spans="1:2" ht="17.25" thickBot="1" x14ac:dyDescent="0.25">
      <c r="A517" s="25">
        <v>66</v>
      </c>
      <c r="B517" s="25" t="s">
        <v>215</v>
      </c>
    </row>
    <row r="518" spans="1:2" ht="17.25" thickBot="1" x14ac:dyDescent="0.25">
      <c r="A518" s="25">
        <v>65</v>
      </c>
      <c r="B518" s="25" t="s">
        <v>215</v>
      </c>
    </row>
    <row r="519" spans="1:2" ht="17.25" thickBot="1" x14ac:dyDescent="0.25">
      <c r="A519" s="25">
        <v>67</v>
      </c>
      <c r="B519" s="25" t="s">
        <v>215</v>
      </c>
    </row>
    <row r="520" spans="1:2" ht="17.25" thickBot="1" x14ac:dyDescent="0.25">
      <c r="A520" s="25">
        <v>65</v>
      </c>
      <c r="B520" s="25" t="s">
        <v>215</v>
      </c>
    </row>
    <row r="521" spans="1:2" ht="17.25" thickBot="1" x14ac:dyDescent="0.25">
      <c r="A521" s="25">
        <v>68</v>
      </c>
      <c r="B521" s="25" t="s">
        <v>215</v>
      </c>
    </row>
    <row r="522" spans="1:2" ht="17.25" thickBot="1" x14ac:dyDescent="0.25">
      <c r="A522" s="7"/>
      <c r="B522" s="7"/>
    </row>
    <row r="523" spans="1:2" ht="17.25" thickBot="1" x14ac:dyDescent="0.25">
      <c r="A523" s="7"/>
      <c r="B523" s="7"/>
    </row>
    <row r="524" spans="1:2" ht="17.25" thickBot="1" x14ac:dyDescent="0.25">
      <c r="A524" s="7"/>
      <c r="B524" s="7"/>
    </row>
    <row r="525" spans="1:2" ht="17.25" thickBot="1" x14ac:dyDescent="0.25">
      <c r="A525" s="7"/>
      <c r="B525" s="7"/>
    </row>
    <row r="526" spans="1:2" ht="17.25" thickBot="1" x14ac:dyDescent="0.25">
      <c r="A526" s="7"/>
      <c r="B526" s="7"/>
    </row>
    <row r="527" spans="1:2" ht="17.25" thickBot="1" x14ac:dyDescent="0.25">
      <c r="A527" s="7"/>
      <c r="B527" s="7"/>
    </row>
    <row r="528" spans="1:2" ht="17.25" thickBot="1" x14ac:dyDescent="0.25">
      <c r="A528" s="7"/>
      <c r="B528" s="7"/>
    </row>
    <row r="529" spans="1:2" ht="17.25" thickBot="1" x14ac:dyDescent="0.25">
      <c r="A529" s="7"/>
      <c r="B529" s="7"/>
    </row>
    <row r="530" spans="1:2" ht="17.25" thickBot="1" x14ac:dyDescent="0.25">
      <c r="A530" s="7"/>
      <c r="B530" s="7"/>
    </row>
    <row r="531" spans="1:2" ht="17.25" thickBot="1" x14ac:dyDescent="0.25">
      <c r="A531" s="7"/>
      <c r="B531" s="7"/>
    </row>
    <row r="532" spans="1:2" ht="17.25" thickBot="1" x14ac:dyDescent="0.25">
      <c r="A532" s="7"/>
      <c r="B532" s="7"/>
    </row>
    <row r="533" spans="1:2" ht="17.25" thickBot="1" x14ac:dyDescent="0.25">
      <c r="A533" s="7"/>
      <c r="B533" s="7"/>
    </row>
    <row r="534" spans="1:2" ht="17.25" thickBot="1" x14ac:dyDescent="0.25">
      <c r="A534" s="7"/>
      <c r="B534" s="7"/>
    </row>
    <row r="535" spans="1:2" ht="17.25" thickBot="1" x14ac:dyDescent="0.25">
      <c r="A535" s="7"/>
      <c r="B535" s="7"/>
    </row>
    <row r="536" spans="1:2" ht="17.25" thickBot="1" x14ac:dyDescent="0.25">
      <c r="A536" s="7"/>
      <c r="B536" s="7"/>
    </row>
    <row r="537" spans="1:2" ht="17.25" thickBot="1" x14ac:dyDescent="0.25">
      <c r="A537" s="7"/>
      <c r="B537" s="7"/>
    </row>
    <row r="538" spans="1:2" ht="17.25" thickBot="1" x14ac:dyDescent="0.25">
      <c r="A538" s="7"/>
      <c r="B538" s="7"/>
    </row>
    <row r="539" spans="1:2" ht="17.25" thickBot="1" x14ac:dyDescent="0.25">
      <c r="A539" s="7"/>
      <c r="B539" s="7"/>
    </row>
    <row r="540" spans="1:2" ht="17.25" thickBot="1" x14ac:dyDescent="0.25">
      <c r="A540" s="7"/>
      <c r="B540" s="7"/>
    </row>
    <row r="541" spans="1:2" ht="17.25" thickBot="1" x14ac:dyDescent="0.25">
      <c r="A541" s="7"/>
      <c r="B541" s="7"/>
    </row>
    <row r="542" spans="1:2" ht="17.25" thickBot="1" x14ac:dyDescent="0.25">
      <c r="A542" s="7"/>
      <c r="B542" s="7"/>
    </row>
    <row r="543" spans="1:2" ht="17.25" thickBot="1" x14ac:dyDescent="0.25">
      <c r="A543" s="7"/>
      <c r="B543" s="7"/>
    </row>
    <row r="544" spans="1:2" ht="17.25" thickBot="1" x14ac:dyDescent="0.25">
      <c r="A544" s="7"/>
      <c r="B544" s="7"/>
    </row>
    <row r="545" spans="1:2" ht="17.25" thickBot="1" x14ac:dyDescent="0.25">
      <c r="A545" s="7"/>
      <c r="B545" s="7"/>
    </row>
    <row r="546" spans="1:2" ht="17.25" thickBot="1" x14ac:dyDescent="0.25">
      <c r="A546" s="7"/>
      <c r="B546" s="7"/>
    </row>
    <row r="547" spans="1:2" ht="17.25" thickBot="1" x14ac:dyDescent="0.25">
      <c r="A547" s="7"/>
      <c r="B547" s="7"/>
    </row>
    <row r="548" spans="1:2" ht="17.25" thickBot="1" x14ac:dyDescent="0.25">
      <c r="A548" s="7"/>
      <c r="B548" s="7"/>
    </row>
    <row r="549" spans="1:2" ht="17.25" thickBot="1" x14ac:dyDescent="0.25">
      <c r="A549" s="7"/>
      <c r="B549" s="7"/>
    </row>
    <row r="550" spans="1:2" ht="17.25" thickBot="1" x14ac:dyDescent="0.25">
      <c r="A550" s="7"/>
      <c r="B550" s="7"/>
    </row>
    <row r="551" spans="1:2" ht="17.25" thickBot="1" x14ac:dyDescent="0.25">
      <c r="A551" s="7"/>
      <c r="B551" s="7"/>
    </row>
    <row r="552" spans="1:2" ht="17.25" thickBot="1" x14ac:dyDescent="0.25">
      <c r="A552" s="7"/>
      <c r="B552" s="7"/>
    </row>
    <row r="553" spans="1:2" ht="17.25" thickBot="1" x14ac:dyDescent="0.25">
      <c r="A553" s="7"/>
      <c r="B553" s="7"/>
    </row>
    <row r="554" spans="1:2" ht="17.25" thickBot="1" x14ac:dyDescent="0.25">
      <c r="A554" s="7"/>
      <c r="B554" s="7"/>
    </row>
    <row r="555" spans="1:2" ht="17.25" thickBot="1" x14ac:dyDescent="0.25">
      <c r="A555" s="7"/>
      <c r="B555" s="7"/>
    </row>
    <row r="556" spans="1:2" ht="17.25" thickBot="1" x14ac:dyDescent="0.25">
      <c r="A556" s="7"/>
      <c r="B556" s="7"/>
    </row>
    <row r="557" spans="1:2" ht="17.25" thickBot="1" x14ac:dyDescent="0.25">
      <c r="A557" s="7"/>
      <c r="B557" s="7"/>
    </row>
    <row r="558" spans="1:2" ht="17.25" thickBot="1" x14ac:dyDescent="0.25">
      <c r="A558" s="7"/>
      <c r="B558" s="7"/>
    </row>
    <row r="559" spans="1:2" ht="17.25" thickBot="1" x14ac:dyDescent="0.25">
      <c r="A559" s="7"/>
      <c r="B559" s="7"/>
    </row>
    <row r="560" spans="1:2" ht="17.25" thickBot="1" x14ac:dyDescent="0.25">
      <c r="A560" s="7"/>
      <c r="B560" s="7"/>
    </row>
    <row r="561" spans="1:2" ht="17.25" thickBot="1" x14ac:dyDescent="0.25">
      <c r="A561" s="7"/>
      <c r="B561" s="7"/>
    </row>
    <row r="562" spans="1:2" ht="17.25" thickBot="1" x14ac:dyDescent="0.25">
      <c r="A562" s="7"/>
      <c r="B562" s="7"/>
    </row>
    <row r="563" spans="1:2" ht="17.25" thickBot="1" x14ac:dyDescent="0.25">
      <c r="A563" s="7"/>
      <c r="B563" s="7"/>
    </row>
    <row r="564" spans="1:2" ht="17.25" thickBot="1" x14ac:dyDescent="0.25">
      <c r="A564" s="7"/>
      <c r="B564" s="7"/>
    </row>
    <row r="565" spans="1:2" ht="17.25" thickBot="1" x14ac:dyDescent="0.25">
      <c r="A565" s="7"/>
      <c r="B565" s="7"/>
    </row>
    <row r="566" spans="1:2" ht="17.25" thickBot="1" x14ac:dyDescent="0.25">
      <c r="A566" s="7"/>
      <c r="B566" s="7"/>
    </row>
    <row r="567" spans="1:2" ht="17.25" thickBot="1" x14ac:dyDescent="0.25">
      <c r="A567" s="7"/>
      <c r="B567" s="7"/>
    </row>
    <row r="568" spans="1:2" ht="17.25" thickBot="1" x14ac:dyDescent="0.25">
      <c r="A568" s="7"/>
      <c r="B568" s="7"/>
    </row>
    <row r="569" spans="1:2" ht="17.25" thickBot="1" x14ac:dyDescent="0.25">
      <c r="A569" s="7"/>
      <c r="B569" s="7"/>
    </row>
    <row r="570" spans="1:2" ht="17.25" thickBot="1" x14ac:dyDescent="0.25">
      <c r="A570" s="7"/>
      <c r="B570" s="7"/>
    </row>
    <row r="571" spans="1:2" ht="17.25" thickBot="1" x14ac:dyDescent="0.25">
      <c r="A571" s="7"/>
      <c r="B571" s="7"/>
    </row>
    <row r="572" spans="1:2" ht="17.25" thickBot="1" x14ac:dyDescent="0.25">
      <c r="A572" s="7"/>
      <c r="B572" s="7"/>
    </row>
    <row r="573" spans="1:2" ht="17.25" thickBot="1" x14ac:dyDescent="0.25">
      <c r="A573" s="7"/>
      <c r="B573" s="7"/>
    </row>
    <row r="574" spans="1:2" ht="17.25" thickBot="1" x14ac:dyDescent="0.25">
      <c r="A574" s="7"/>
      <c r="B574" s="7"/>
    </row>
    <row r="575" spans="1:2" ht="17.25" thickBot="1" x14ac:dyDescent="0.25">
      <c r="A575" s="7"/>
      <c r="B575" s="7"/>
    </row>
    <row r="576" spans="1:2" ht="17.25" thickBot="1" x14ac:dyDescent="0.25">
      <c r="A576" s="7"/>
      <c r="B576" s="7"/>
    </row>
    <row r="577" spans="1:2" ht="17.25" thickBot="1" x14ac:dyDescent="0.25">
      <c r="A577" s="7"/>
      <c r="B577" s="7"/>
    </row>
    <row r="578" spans="1:2" ht="17.25" thickBot="1" x14ac:dyDescent="0.25">
      <c r="A578" s="7"/>
      <c r="B578" s="7"/>
    </row>
    <row r="579" spans="1:2" ht="17.25" thickBot="1" x14ac:dyDescent="0.25">
      <c r="A579" s="7"/>
      <c r="B579" s="7"/>
    </row>
    <row r="580" spans="1:2" ht="17.25" thickBot="1" x14ac:dyDescent="0.25">
      <c r="A580" s="7"/>
      <c r="B580" s="7"/>
    </row>
    <row r="581" spans="1:2" ht="17.25" thickBot="1" x14ac:dyDescent="0.25">
      <c r="A581" s="7"/>
      <c r="B581" s="7"/>
    </row>
    <row r="582" spans="1:2" ht="17.25" thickBot="1" x14ac:dyDescent="0.25">
      <c r="A582" s="7"/>
      <c r="B582" s="7"/>
    </row>
    <row r="583" spans="1:2" ht="17.25" thickBot="1" x14ac:dyDescent="0.25">
      <c r="A583" s="7"/>
      <c r="B583" s="7"/>
    </row>
    <row r="584" spans="1:2" ht="17.25" thickBot="1" x14ac:dyDescent="0.25">
      <c r="A584" s="7"/>
      <c r="B584" s="7"/>
    </row>
    <row r="585" spans="1:2" ht="17.25" thickBot="1" x14ac:dyDescent="0.25">
      <c r="A585" s="7"/>
      <c r="B585" s="7"/>
    </row>
    <row r="586" spans="1:2" ht="17.25" thickBot="1" x14ac:dyDescent="0.25">
      <c r="A586" s="7"/>
      <c r="B586" s="7"/>
    </row>
    <row r="587" spans="1:2" ht="17.25" thickBot="1" x14ac:dyDescent="0.25">
      <c r="A587" s="7"/>
      <c r="B587" s="7"/>
    </row>
    <row r="588" spans="1:2" ht="17.25" thickBot="1" x14ac:dyDescent="0.25">
      <c r="A588" s="7"/>
      <c r="B588" s="7"/>
    </row>
    <row r="589" spans="1:2" ht="17.25" thickBot="1" x14ac:dyDescent="0.25">
      <c r="A589" s="7"/>
      <c r="B589" s="7"/>
    </row>
    <row r="590" spans="1:2" ht="17.25" thickBot="1" x14ac:dyDescent="0.25">
      <c r="A590" s="7"/>
      <c r="B590" s="7"/>
    </row>
    <row r="591" spans="1:2" ht="17.25" thickBot="1" x14ac:dyDescent="0.25">
      <c r="A591" s="7"/>
      <c r="B591" s="7"/>
    </row>
    <row r="592" spans="1:2" ht="17.25" thickBot="1" x14ac:dyDescent="0.25">
      <c r="A592" s="7"/>
      <c r="B592" s="7"/>
    </row>
    <row r="593" spans="1:2" ht="17.25" thickBot="1" x14ac:dyDescent="0.25">
      <c r="A593" s="7"/>
      <c r="B593" s="7"/>
    </row>
    <row r="594" spans="1:2" ht="17.25" thickBot="1" x14ac:dyDescent="0.25">
      <c r="A594" s="7"/>
      <c r="B594" s="7"/>
    </row>
    <row r="595" spans="1:2" ht="17.25" thickBot="1" x14ac:dyDescent="0.25">
      <c r="A595" s="7"/>
      <c r="B595" s="7"/>
    </row>
    <row r="596" spans="1:2" ht="17.25" thickBot="1" x14ac:dyDescent="0.25">
      <c r="A596" s="7"/>
      <c r="B596" s="7"/>
    </row>
    <row r="597" spans="1:2" ht="17.25" thickBot="1" x14ac:dyDescent="0.25">
      <c r="A597" s="7"/>
      <c r="B597" s="7"/>
    </row>
    <row r="598" spans="1:2" ht="17.25" thickBot="1" x14ac:dyDescent="0.25">
      <c r="A598" s="7"/>
      <c r="B598" s="7"/>
    </row>
    <row r="599" spans="1:2" ht="17.25" thickBot="1" x14ac:dyDescent="0.25">
      <c r="A599" s="7"/>
      <c r="B599" s="7"/>
    </row>
    <row r="600" spans="1:2" ht="17.25" thickBot="1" x14ac:dyDescent="0.25">
      <c r="A600" s="7"/>
      <c r="B600" s="7"/>
    </row>
    <row r="601" spans="1:2" ht="17.25" thickBot="1" x14ac:dyDescent="0.25">
      <c r="A601" s="7"/>
      <c r="B601" s="7"/>
    </row>
    <row r="602" spans="1:2" ht="17.25" thickBot="1" x14ac:dyDescent="0.25">
      <c r="A602" s="7"/>
      <c r="B602" s="7"/>
    </row>
    <row r="603" spans="1:2" ht="17.25" thickBot="1" x14ac:dyDescent="0.25">
      <c r="A603" s="7"/>
      <c r="B603" s="7"/>
    </row>
    <row r="604" spans="1:2" ht="17.25" thickBot="1" x14ac:dyDescent="0.25">
      <c r="A604" s="7"/>
      <c r="B604" s="7"/>
    </row>
    <row r="605" spans="1:2" ht="17.25" thickBot="1" x14ac:dyDescent="0.25">
      <c r="A605" s="7"/>
      <c r="B605" s="7"/>
    </row>
    <row r="606" spans="1:2" ht="17.25" thickBot="1" x14ac:dyDescent="0.25">
      <c r="A606" s="7"/>
      <c r="B606" s="7"/>
    </row>
    <row r="607" spans="1:2" ht="17.25" thickBot="1" x14ac:dyDescent="0.25">
      <c r="A607" s="7"/>
      <c r="B607" s="7"/>
    </row>
    <row r="608" spans="1:2" ht="17.25" thickBot="1" x14ac:dyDescent="0.25">
      <c r="A608" s="7"/>
      <c r="B608" s="7"/>
    </row>
    <row r="609" spans="1:2" ht="17.25" thickBot="1" x14ac:dyDescent="0.25">
      <c r="A609" s="7"/>
      <c r="B609" s="7"/>
    </row>
    <row r="610" spans="1:2" ht="17.25" thickBot="1" x14ac:dyDescent="0.25">
      <c r="A610" s="7"/>
      <c r="B610" s="7"/>
    </row>
    <row r="611" spans="1:2" ht="17.25" thickBot="1" x14ac:dyDescent="0.25">
      <c r="A611" s="7"/>
      <c r="B611" s="7"/>
    </row>
    <row r="612" spans="1:2" ht="17.25" thickBot="1" x14ac:dyDescent="0.25">
      <c r="A612" s="7"/>
      <c r="B612" s="7"/>
    </row>
    <row r="613" spans="1:2" ht="17.25" thickBot="1" x14ac:dyDescent="0.25">
      <c r="A613" s="7"/>
      <c r="B613" s="7"/>
    </row>
    <row r="614" spans="1:2" ht="17.25" thickBot="1" x14ac:dyDescent="0.25">
      <c r="A614" s="7"/>
      <c r="B614" s="7"/>
    </row>
    <row r="615" spans="1:2" ht="17.25" thickBot="1" x14ac:dyDescent="0.25">
      <c r="A615" s="7"/>
      <c r="B615" s="7"/>
    </row>
    <row r="616" spans="1:2" ht="17.25" thickBot="1" x14ac:dyDescent="0.25">
      <c r="A616" s="7"/>
      <c r="B616" s="7"/>
    </row>
    <row r="617" spans="1:2" ht="17.25" thickBot="1" x14ac:dyDescent="0.25">
      <c r="A617" s="7"/>
      <c r="B617" s="7"/>
    </row>
    <row r="618" spans="1:2" ht="17.25" thickBot="1" x14ac:dyDescent="0.25">
      <c r="A618" s="7"/>
      <c r="B618" s="7"/>
    </row>
    <row r="619" spans="1:2" ht="17.25" thickBot="1" x14ac:dyDescent="0.25">
      <c r="A619" s="7"/>
      <c r="B619" s="7"/>
    </row>
    <row r="620" spans="1:2" ht="17.25" thickBot="1" x14ac:dyDescent="0.25">
      <c r="A620" s="7"/>
      <c r="B620" s="7"/>
    </row>
    <row r="621" spans="1:2" ht="17.25" thickBot="1" x14ac:dyDescent="0.25">
      <c r="A621" s="7"/>
      <c r="B621" s="7"/>
    </row>
    <row r="622" spans="1:2" ht="17.25" thickBot="1" x14ac:dyDescent="0.25">
      <c r="A622" s="7"/>
      <c r="B622" s="7"/>
    </row>
    <row r="623" spans="1:2" ht="17.25" thickBot="1" x14ac:dyDescent="0.25">
      <c r="A623" s="7"/>
      <c r="B623" s="7"/>
    </row>
    <row r="624" spans="1:2" ht="17.25" thickBot="1" x14ac:dyDescent="0.25">
      <c r="A624" s="7"/>
      <c r="B624" s="7"/>
    </row>
    <row r="625" spans="1:2" ht="17.25" thickBot="1" x14ac:dyDescent="0.25">
      <c r="A625" s="7"/>
      <c r="B625" s="7"/>
    </row>
    <row r="626" spans="1:2" ht="17.25" thickBot="1" x14ac:dyDescent="0.25">
      <c r="A626" s="7"/>
      <c r="B626" s="7"/>
    </row>
    <row r="627" spans="1:2" ht="17.25" thickBot="1" x14ac:dyDescent="0.25">
      <c r="A627" s="7"/>
      <c r="B627" s="7"/>
    </row>
    <row r="628" spans="1:2" ht="17.25" thickBot="1" x14ac:dyDescent="0.25">
      <c r="A628" s="7"/>
      <c r="B628" s="7"/>
    </row>
    <row r="629" spans="1:2" ht="17.25" thickBot="1" x14ac:dyDescent="0.25">
      <c r="A629" s="7"/>
      <c r="B629" s="7"/>
    </row>
    <row r="630" spans="1:2" ht="17.25" thickBot="1" x14ac:dyDescent="0.25">
      <c r="A630" s="7"/>
      <c r="B630" s="7"/>
    </row>
    <row r="631" spans="1:2" ht="17.25" thickBot="1" x14ac:dyDescent="0.25">
      <c r="A631" s="7"/>
      <c r="B631" s="7"/>
    </row>
    <row r="632" spans="1:2" ht="17.25" thickBot="1" x14ac:dyDescent="0.25">
      <c r="A632" s="7"/>
      <c r="B632" s="7"/>
    </row>
    <row r="633" spans="1:2" ht="17.25" thickBot="1" x14ac:dyDescent="0.25">
      <c r="A633" s="7"/>
      <c r="B633" s="7"/>
    </row>
    <row r="634" spans="1:2" ht="17.25" thickBot="1" x14ac:dyDescent="0.25">
      <c r="A634" s="7"/>
      <c r="B634" s="7"/>
    </row>
    <row r="635" spans="1:2" ht="17.25" thickBot="1" x14ac:dyDescent="0.25">
      <c r="A635" s="7"/>
      <c r="B635" s="7"/>
    </row>
    <row r="636" spans="1:2" ht="17.25" thickBot="1" x14ac:dyDescent="0.25">
      <c r="A636" s="7"/>
      <c r="B636" s="7"/>
    </row>
    <row r="637" spans="1:2" ht="17.25" thickBot="1" x14ac:dyDescent="0.25">
      <c r="A637" s="7"/>
      <c r="B637" s="7"/>
    </row>
    <row r="638" spans="1:2" ht="17.25" thickBot="1" x14ac:dyDescent="0.25">
      <c r="A638" s="7"/>
      <c r="B638" s="7"/>
    </row>
    <row r="639" spans="1:2" ht="17.25" thickBot="1" x14ac:dyDescent="0.25">
      <c r="A639" s="7"/>
      <c r="B639" s="7"/>
    </row>
    <row r="640" spans="1:2" ht="17.25" thickBot="1" x14ac:dyDescent="0.25">
      <c r="A640" s="7"/>
      <c r="B640" s="7"/>
    </row>
    <row r="641" spans="1:2" ht="17.25" thickBot="1" x14ac:dyDescent="0.25">
      <c r="A641" s="7"/>
      <c r="B641" s="7"/>
    </row>
    <row r="642" spans="1:2" ht="17.25" thickBot="1" x14ac:dyDescent="0.25">
      <c r="A642" s="7"/>
      <c r="B642" s="7"/>
    </row>
    <row r="643" spans="1:2" ht="17.25" thickBot="1" x14ac:dyDescent="0.25">
      <c r="A643" s="7"/>
      <c r="B643" s="7"/>
    </row>
    <row r="644" spans="1:2" ht="17.25" thickBot="1" x14ac:dyDescent="0.25">
      <c r="A644" s="7"/>
      <c r="B644" s="7"/>
    </row>
    <row r="645" spans="1:2" ht="17.25" thickBot="1" x14ac:dyDescent="0.25">
      <c r="A645" s="7"/>
      <c r="B645" s="7"/>
    </row>
    <row r="646" spans="1:2" ht="17.25" thickBot="1" x14ac:dyDescent="0.25">
      <c r="A646" s="7"/>
      <c r="B646" s="7"/>
    </row>
    <row r="647" spans="1:2" ht="17.25" thickBot="1" x14ac:dyDescent="0.25">
      <c r="A647" s="7"/>
      <c r="B647" s="7"/>
    </row>
    <row r="648" spans="1:2" ht="17.25" thickBot="1" x14ac:dyDescent="0.25">
      <c r="A648" s="7"/>
      <c r="B648" s="7"/>
    </row>
    <row r="649" spans="1:2" ht="17.25" thickBot="1" x14ac:dyDescent="0.25">
      <c r="A649" s="7"/>
      <c r="B649" s="7"/>
    </row>
    <row r="650" spans="1:2" ht="17.25" thickBot="1" x14ac:dyDescent="0.25">
      <c r="A650" s="7"/>
      <c r="B650" s="7"/>
    </row>
    <row r="651" spans="1:2" ht="17.25" thickBot="1" x14ac:dyDescent="0.25">
      <c r="A651" s="7"/>
      <c r="B651" s="7"/>
    </row>
    <row r="652" spans="1:2" ht="17.25" thickBot="1" x14ac:dyDescent="0.25">
      <c r="A652" s="7"/>
      <c r="B652" s="7"/>
    </row>
    <row r="653" spans="1:2" ht="17.25" thickBot="1" x14ac:dyDescent="0.25">
      <c r="A653" s="7"/>
      <c r="B653" s="7"/>
    </row>
    <row r="654" spans="1:2" ht="17.25" thickBot="1" x14ac:dyDescent="0.25">
      <c r="A654" s="7"/>
      <c r="B654" s="7"/>
    </row>
    <row r="655" spans="1:2" ht="17.25" thickBot="1" x14ac:dyDescent="0.25">
      <c r="A655" s="7"/>
      <c r="B655" s="7"/>
    </row>
    <row r="656" spans="1:2" ht="17.25" thickBot="1" x14ac:dyDescent="0.25">
      <c r="A656" s="7"/>
      <c r="B656" s="7"/>
    </row>
    <row r="657" spans="1:2" ht="17.25" thickBot="1" x14ac:dyDescent="0.25">
      <c r="A657" s="7"/>
      <c r="B657" s="7"/>
    </row>
    <row r="658" spans="1:2" ht="17.25" thickBot="1" x14ac:dyDescent="0.25">
      <c r="A658" s="7"/>
      <c r="B658" s="7"/>
    </row>
    <row r="659" spans="1:2" ht="17.25" thickBot="1" x14ac:dyDescent="0.25">
      <c r="A659" s="7"/>
      <c r="B659" s="7"/>
    </row>
    <row r="660" spans="1:2" ht="17.25" thickBot="1" x14ac:dyDescent="0.25">
      <c r="A660" s="7"/>
      <c r="B660" s="7"/>
    </row>
    <row r="661" spans="1:2" ht="17.25" thickBot="1" x14ac:dyDescent="0.25">
      <c r="A661" s="7"/>
      <c r="B661" s="7"/>
    </row>
    <row r="662" spans="1:2" ht="17.25" thickBot="1" x14ac:dyDescent="0.25">
      <c r="A662" s="7"/>
      <c r="B662" s="7"/>
    </row>
    <row r="663" spans="1:2" ht="17.25" thickBot="1" x14ac:dyDescent="0.25">
      <c r="A663" s="7"/>
      <c r="B663" s="7"/>
    </row>
    <row r="664" spans="1:2" ht="17.25" thickBot="1" x14ac:dyDescent="0.25">
      <c r="A664" s="7"/>
      <c r="B664" s="7"/>
    </row>
    <row r="665" spans="1:2" ht="17.25" thickBot="1" x14ac:dyDescent="0.25">
      <c r="A665" s="7"/>
      <c r="B665" s="7"/>
    </row>
    <row r="666" spans="1:2" ht="17.25" thickBot="1" x14ac:dyDescent="0.25">
      <c r="A666" s="7"/>
      <c r="B666" s="7"/>
    </row>
    <row r="667" spans="1:2" ht="17.25" thickBot="1" x14ac:dyDescent="0.25">
      <c r="A667" s="7"/>
      <c r="B667" s="7"/>
    </row>
    <row r="668" spans="1:2" ht="17.25" thickBot="1" x14ac:dyDescent="0.25">
      <c r="A668" s="7"/>
      <c r="B668" s="7"/>
    </row>
    <row r="669" spans="1:2" ht="17.25" thickBot="1" x14ac:dyDescent="0.25">
      <c r="A669" s="7"/>
      <c r="B669" s="7"/>
    </row>
    <row r="670" spans="1:2" ht="17.25" thickBot="1" x14ac:dyDescent="0.25">
      <c r="A670" s="7"/>
      <c r="B670" s="7"/>
    </row>
    <row r="671" spans="1:2" ht="17.25" thickBot="1" x14ac:dyDescent="0.25">
      <c r="A671" s="7"/>
      <c r="B671" s="7"/>
    </row>
    <row r="672" spans="1:2" ht="17.25" thickBot="1" x14ac:dyDescent="0.25">
      <c r="A672" s="7"/>
      <c r="B672" s="7"/>
    </row>
    <row r="673" spans="1:2" ht="17.25" thickBot="1" x14ac:dyDescent="0.25">
      <c r="A673" s="7"/>
      <c r="B673" s="7"/>
    </row>
    <row r="674" spans="1:2" ht="17.25" thickBot="1" x14ac:dyDescent="0.25">
      <c r="A674" s="7"/>
      <c r="B674" s="7"/>
    </row>
    <row r="675" spans="1:2" ht="17.25" thickBot="1" x14ac:dyDescent="0.25">
      <c r="A675" s="7"/>
      <c r="B675" s="7"/>
    </row>
    <row r="676" spans="1:2" ht="17.25" thickBot="1" x14ac:dyDescent="0.25">
      <c r="A676" s="7"/>
      <c r="B676" s="7"/>
    </row>
    <row r="677" spans="1:2" ht="17.25" thickBot="1" x14ac:dyDescent="0.25">
      <c r="A677" s="7"/>
      <c r="B677" s="7"/>
    </row>
    <row r="678" spans="1:2" ht="17.25" thickBot="1" x14ac:dyDescent="0.25">
      <c r="A678" s="7"/>
      <c r="B678" s="7"/>
    </row>
    <row r="679" spans="1:2" ht="17.25" thickBot="1" x14ac:dyDescent="0.25">
      <c r="A679" s="7"/>
      <c r="B679" s="7"/>
    </row>
    <row r="680" spans="1:2" ht="17.25" thickBot="1" x14ac:dyDescent="0.25">
      <c r="A680" s="7"/>
      <c r="B680" s="7"/>
    </row>
    <row r="681" spans="1:2" ht="17.25" thickBot="1" x14ac:dyDescent="0.25">
      <c r="A681" s="7"/>
      <c r="B681" s="7"/>
    </row>
    <row r="682" spans="1:2" ht="17.25" thickBot="1" x14ac:dyDescent="0.25">
      <c r="A682" s="7"/>
      <c r="B682" s="7"/>
    </row>
    <row r="683" spans="1:2" ht="17.25" thickBot="1" x14ac:dyDescent="0.25">
      <c r="A683" s="7"/>
      <c r="B683" s="7"/>
    </row>
    <row r="684" spans="1:2" ht="17.25" thickBot="1" x14ac:dyDescent="0.25">
      <c r="A684" s="7"/>
      <c r="B684" s="7"/>
    </row>
    <row r="685" spans="1:2" ht="17.25" thickBot="1" x14ac:dyDescent="0.25">
      <c r="A685" s="7"/>
      <c r="B685" s="7"/>
    </row>
    <row r="686" spans="1:2" ht="17.25" thickBot="1" x14ac:dyDescent="0.25">
      <c r="A686" s="7"/>
      <c r="B686" s="7"/>
    </row>
    <row r="687" spans="1:2" ht="17.25" thickBot="1" x14ac:dyDescent="0.25">
      <c r="A687" s="7"/>
      <c r="B687" s="7"/>
    </row>
    <row r="688" spans="1:2" ht="17.25" thickBot="1" x14ac:dyDescent="0.25">
      <c r="A688" s="7"/>
      <c r="B688" s="7"/>
    </row>
    <row r="689" spans="1:2" ht="17.25" thickBot="1" x14ac:dyDescent="0.25">
      <c r="A689" s="7"/>
      <c r="B689" s="7"/>
    </row>
    <row r="690" spans="1:2" ht="17.25" thickBot="1" x14ac:dyDescent="0.25">
      <c r="A690" s="7"/>
      <c r="B690" s="7"/>
    </row>
    <row r="691" spans="1:2" ht="17.25" thickBot="1" x14ac:dyDescent="0.25">
      <c r="A691" s="7"/>
      <c r="B691" s="7"/>
    </row>
    <row r="692" spans="1:2" ht="17.25" thickBot="1" x14ac:dyDescent="0.25">
      <c r="A692" s="7"/>
      <c r="B692" s="7"/>
    </row>
    <row r="693" spans="1:2" ht="17.25" thickBot="1" x14ac:dyDescent="0.25">
      <c r="A693" s="7"/>
      <c r="B693" s="7"/>
    </row>
    <row r="694" spans="1:2" ht="17.25" thickBot="1" x14ac:dyDescent="0.25">
      <c r="A694" s="7"/>
      <c r="B694" s="7"/>
    </row>
    <row r="695" spans="1:2" ht="17.25" thickBot="1" x14ac:dyDescent="0.25">
      <c r="A695" s="7"/>
      <c r="B695" s="7"/>
    </row>
    <row r="696" spans="1:2" ht="17.25" thickBot="1" x14ac:dyDescent="0.25">
      <c r="A696" s="7"/>
      <c r="B696" s="7"/>
    </row>
    <row r="697" spans="1:2" ht="17.25" thickBot="1" x14ac:dyDescent="0.25">
      <c r="A697" s="7"/>
      <c r="B697" s="7"/>
    </row>
    <row r="698" spans="1:2" ht="17.25" thickBot="1" x14ac:dyDescent="0.25">
      <c r="A698" s="7"/>
      <c r="B698" s="7"/>
    </row>
    <row r="699" spans="1:2" ht="17.25" thickBot="1" x14ac:dyDescent="0.25">
      <c r="A699" s="7"/>
      <c r="B699" s="7"/>
    </row>
    <row r="700" spans="1:2" ht="17.25" thickBot="1" x14ac:dyDescent="0.25">
      <c r="A700" s="7"/>
      <c r="B700" s="7"/>
    </row>
    <row r="701" spans="1:2" ht="17.25" thickBot="1" x14ac:dyDescent="0.25">
      <c r="A701" s="7"/>
      <c r="B701" s="7"/>
    </row>
    <row r="702" spans="1:2" ht="17.25" thickBot="1" x14ac:dyDescent="0.25">
      <c r="A702" s="7"/>
      <c r="B702" s="7"/>
    </row>
    <row r="703" spans="1:2" ht="17.25" thickBot="1" x14ac:dyDescent="0.25">
      <c r="A703" s="7"/>
      <c r="B703" s="7"/>
    </row>
    <row r="704" spans="1:2" ht="17.25" thickBot="1" x14ac:dyDescent="0.25">
      <c r="A704" s="7"/>
      <c r="B704" s="7"/>
    </row>
    <row r="705" spans="1:2" ht="17.25" thickBot="1" x14ac:dyDescent="0.25">
      <c r="A705" s="7"/>
      <c r="B705" s="7"/>
    </row>
    <row r="706" spans="1:2" ht="17.25" thickBot="1" x14ac:dyDescent="0.25">
      <c r="A706" s="7"/>
      <c r="B706" s="7"/>
    </row>
    <row r="707" spans="1:2" ht="17.25" thickBot="1" x14ac:dyDescent="0.25">
      <c r="A707" s="7"/>
      <c r="B707" s="7"/>
    </row>
    <row r="708" spans="1:2" ht="17.25" thickBot="1" x14ac:dyDescent="0.25">
      <c r="A708" s="7"/>
      <c r="B708" s="7"/>
    </row>
    <row r="709" spans="1:2" ht="17.25" thickBot="1" x14ac:dyDescent="0.25">
      <c r="A709" s="7"/>
      <c r="B709" s="7"/>
    </row>
    <row r="710" spans="1:2" ht="17.25" thickBot="1" x14ac:dyDescent="0.25">
      <c r="A710" s="7"/>
      <c r="B710" s="7"/>
    </row>
    <row r="711" spans="1:2" ht="17.25" thickBot="1" x14ac:dyDescent="0.25">
      <c r="A711" s="7"/>
      <c r="B711" s="7"/>
    </row>
    <row r="712" spans="1:2" ht="17.25" thickBot="1" x14ac:dyDescent="0.25">
      <c r="A712" s="7"/>
      <c r="B712" s="7"/>
    </row>
    <row r="713" spans="1:2" ht="17.25" thickBot="1" x14ac:dyDescent="0.25">
      <c r="A713" s="7"/>
      <c r="B713" s="7"/>
    </row>
    <row r="714" spans="1:2" ht="17.25" thickBot="1" x14ac:dyDescent="0.25">
      <c r="A714" s="7"/>
      <c r="B714" s="7"/>
    </row>
    <row r="715" spans="1:2" ht="17.25" thickBot="1" x14ac:dyDescent="0.25">
      <c r="A715" s="7"/>
      <c r="B715" s="7"/>
    </row>
    <row r="716" spans="1:2" ht="17.25" thickBot="1" x14ac:dyDescent="0.25">
      <c r="A716" s="7"/>
      <c r="B716" s="7"/>
    </row>
    <row r="717" spans="1:2" ht="17.25" thickBot="1" x14ac:dyDescent="0.25">
      <c r="A717" s="7"/>
      <c r="B717" s="7"/>
    </row>
    <row r="718" spans="1:2" ht="17.25" thickBot="1" x14ac:dyDescent="0.25">
      <c r="A718" s="7"/>
      <c r="B718" s="7"/>
    </row>
    <row r="719" spans="1:2" ht="17.25" thickBot="1" x14ac:dyDescent="0.25">
      <c r="A719" s="7"/>
      <c r="B719" s="7"/>
    </row>
    <row r="720" spans="1:2" ht="17.25" thickBot="1" x14ac:dyDescent="0.25">
      <c r="A720" s="7"/>
      <c r="B720" s="7"/>
    </row>
    <row r="721" spans="1:2" ht="17.25" thickBot="1" x14ac:dyDescent="0.25">
      <c r="A721" s="7"/>
      <c r="B721" s="7"/>
    </row>
    <row r="722" spans="1:2" ht="17.25" thickBot="1" x14ac:dyDescent="0.25">
      <c r="A722" s="7"/>
      <c r="B722" s="7"/>
    </row>
    <row r="723" spans="1:2" ht="17.25" thickBot="1" x14ac:dyDescent="0.25">
      <c r="A723" s="7"/>
      <c r="B723" s="7"/>
    </row>
    <row r="724" spans="1:2" ht="17.25" thickBot="1" x14ac:dyDescent="0.25">
      <c r="A724" s="7"/>
      <c r="B724" s="7"/>
    </row>
    <row r="725" spans="1:2" ht="17.25" thickBot="1" x14ac:dyDescent="0.25">
      <c r="A725" s="7"/>
      <c r="B725" s="7"/>
    </row>
    <row r="726" spans="1:2" ht="17.25" thickBot="1" x14ac:dyDescent="0.25">
      <c r="A726" s="7"/>
      <c r="B726" s="7"/>
    </row>
    <row r="727" spans="1:2" ht="17.25" thickBot="1" x14ac:dyDescent="0.25">
      <c r="A727" s="7"/>
      <c r="B727" s="7"/>
    </row>
    <row r="728" spans="1:2" ht="17.25" thickBot="1" x14ac:dyDescent="0.25">
      <c r="A728" s="7"/>
      <c r="B728" s="7"/>
    </row>
    <row r="729" spans="1:2" ht="17.25" thickBot="1" x14ac:dyDescent="0.25">
      <c r="A729" s="7"/>
      <c r="B729" s="7"/>
    </row>
    <row r="730" spans="1:2" ht="17.25" thickBot="1" x14ac:dyDescent="0.25">
      <c r="A730" s="7"/>
      <c r="B730" s="7"/>
    </row>
    <row r="731" spans="1:2" ht="17.25" thickBot="1" x14ac:dyDescent="0.25">
      <c r="A731" s="7"/>
      <c r="B731" s="7"/>
    </row>
    <row r="732" spans="1:2" ht="17.25" thickBot="1" x14ac:dyDescent="0.25">
      <c r="A732" s="7"/>
      <c r="B732" s="7"/>
    </row>
    <row r="733" spans="1:2" ht="17.25" thickBot="1" x14ac:dyDescent="0.25">
      <c r="A733" s="7"/>
      <c r="B733" s="7"/>
    </row>
    <row r="734" spans="1:2" ht="17.25" thickBot="1" x14ac:dyDescent="0.25">
      <c r="A734" s="7"/>
      <c r="B734" s="7"/>
    </row>
    <row r="735" spans="1:2" ht="17.25" thickBot="1" x14ac:dyDescent="0.25">
      <c r="A735" s="7"/>
      <c r="B735" s="7"/>
    </row>
    <row r="736" spans="1:2" ht="17.25" thickBot="1" x14ac:dyDescent="0.25">
      <c r="A736" s="7"/>
      <c r="B736" s="7"/>
    </row>
    <row r="737" spans="1:2" ht="17.25" thickBot="1" x14ac:dyDescent="0.25">
      <c r="A737" s="7"/>
      <c r="B737" s="7"/>
    </row>
    <row r="738" spans="1:2" ht="17.25" thickBot="1" x14ac:dyDescent="0.25">
      <c r="A738" s="7"/>
      <c r="B738" s="7"/>
    </row>
    <row r="739" spans="1:2" ht="17.25" thickBot="1" x14ac:dyDescent="0.25">
      <c r="A739" s="7"/>
      <c r="B739" s="7"/>
    </row>
    <row r="740" spans="1:2" ht="17.25" thickBot="1" x14ac:dyDescent="0.25">
      <c r="A740" s="7"/>
      <c r="B740" s="7"/>
    </row>
    <row r="741" spans="1:2" ht="17.25" thickBot="1" x14ac:dyDescent="0.25">
      <c r="A741" s="7"/>
      <c r="B741" s="7"/>
    </row>
    <row r="742" spans="1:2" ht="17.25" thickBot="1" x14ac:dyDescent="0.25">
      <c r="A742" s="7"/>
      <c r="B742" s="7"/>
    </row>
    <row r="743" spans="1:2" ht="17.25" thickBot="1" x14ac:dyDescent="0.25">
      <c r="A743" s="7"/>
      <c r="B743" s="7"/>
    </row>
    <row r="744" spans="1:2" ht="17.25" thickBot="1" x14ac:dyDescent="0.25">
      <c r="A744" s="7"/>
      <c r="B744" s="7"/>
    </row>
    <row r="745" spans="1:2" ht="17.25" thickBot="1" x14ac:dyDescent="0.25">
      <c r="A745" s="7"/>
      <c r="B745" s="7"/>
    </row>
    <row r="746" spans="1:2" ht="17.25" thickBot="1" x14ac:dyDescent="0.25">
      <c r="A746" s="7"/>
      <c r="B746" s="7"/>
    </row>
    <row r="747" spans="1:2" ht="17.25" thickBot="1" x14ac:dyDescent="0.25">
      <c r="A747" s="7"/>
      <c r="B747" s="7"/>
    </row>
    <row r="748" spans="1:2" ht="17.25" thickBot="1" x14ac:dyDescent="0.25">
      <c r="A748" s="7"/>
      <c r="B748" s="7"/>
    </row>
    <row r="749" spans="1:2" ht="17.25" thickBot="1" x14ac:dyDescent="0.25">
      <c r="A749" s="7"/>
      <c r="B749" s="7"/>
    </row>
    <row r="750" spans="1:2" ht="17.25" thickBot="1" x14ac:dyDescent="0.25">
      <c r="A750" s="7"/>
      <c r="B750" s="7"/>
    </row>
    <row r="751" spans="1:2" ht="17.25" thickBot="1" x14ac:dyDescent="0.25">
      <c r="A751" s="7"/>
      <c r="B751" s="7"/>
    </row>
    <row r="752" spans="1:2" ht="17.25" thickBot="1" x14ac:dyDescent="0.25">
      <c r="A752" s="7"/>
      <c r="B752" s="7"/>
    </row>
    <row r="753" spans="1:2" ht="17.25" thickBot="1" x14ac:dyDescent="0.25">
      <c r="A753" s="7"/>
      <c r="B753" s="7"/>
    </row>
    <row r="754" spans="1:2" ht="17.25" thickBot="1" x14ac:dyDescent="0.25">
      <c r="A754" s="7"/>
      <c r="B754" s="7"/>
    </row>
    <row r="755" spans="1:2" ht="17.25" thickBot="1" x14ac:dyDescent="0.25">
      <c r="A755" s="7"/>
      <c r="B755" s="7"/>
    </row>
    <row r="756" spans="1:2" ht="17.25" thickBot="1" x14ac:dyDescent="0.25">
      <c r="A756" s="7"/>
      <c r="B756" s="7"/>
    </row>
    <row r="757" spans="1:2" ht="17.25" thickBot="1" x14ac:dyDescent="0.25">
      <c r="A757" s="7"/>
      <c r="B757" s="7"/>
    </row>
    <row r="758" spans="1:2" ht="17.25" thickBot="1" x14ac:dyDescent="0.25">
      <c r="A758" s="7"/>
      <c r="B758" s="7"/>
    </row>
    <row r="759" spans="1:2" ht="17.25" thickBot="1" x14ac:dyDescent="0.25">
      <c r="A759" s="7"/>
      <c r="B759" s="7"/>
    </row>
    <row r="760" spans="1:2" ht="17.25" thickBot="1" x14ac:dyDescent="0.25">
      <c r="A760" s="7"/>
      <c r="B760" s="7"/>
    </row>
    <row r="761" spans="1:2" ht="17.25" thickBot="1" x14ac:dyDescent="0.25">
      <c r="A761" s="7"/>
      <c r="B761" s="7"/>
    </row>
    <row r="762" spans="1:2" ht="17.25" thickBot="1" x14ac:dyDescent="0.25">
      <c r="A762" s="7"/>
      <c r="B762" s="7"/>
    </row>
    <row r="763" spans="1:2" ht="17.25" thickBot="1" x14ac:dyDescent="0.25">
      <c r="A763" s="7"/>
      <c r="B763" s="7"/>
    </row>
    <row r="764" spans="1:2" ht="17.25" thickBot="1" x14ac:dyDescent="0.25">
      <c r="A764" s="7"/>
      <c r="B764" s="7"/>
    </row>
    <row r="765" spans="1:2" ht="17.25" thickBot="1" x14ac:dyDescent="0.25">
      <c r="A765" s="7"/>
      <c r="B765" s="7"/>
    </row>
    <row r="766" spans="1:2" ht="17.25" thickBot="1" x14ac:dyDescent="0.25">
      <c r="A766" s="7"/>
      <c r="B766" s="7"/>
    </row>
    <row r="767" spans="1:2" ht="17.25" thickBot="1" x14ac:dyDescent="0.25">
      <c r="A767" s="7"/>
      <c r="B767" s="7"/>
    </row>
    <row r="768" spans="1:2" ht="17.25" thickBot="1" x14ac:dyDescent="0.25">
      <c r="A768" s="7"/>
      <c r="B768" s="7"/>
    </row>
    <row r="769" spans="1:2" ht="17.25" thickBot="1" x14ac:dyDescent="0.25">
      <c r="A769" s="7"/>
      <c r="B769" s="7"/>
    </row>
    <row r="770" spans="1:2" ht="17.25" thickBot="1" x14ac:dyDescent="0.25">
      <c r="A770" s="7"/>
      <c r="B770" s="7"/>
    </row>
    <row r="771" spans="1:2" ht="17.25" thickBot="1" x14ac:dyDescent="0.25">
      <c r="A771" s="7"/>
      <c r="B771" s="7"/>
    </row>
    <row r="772" spans="1:2" ht="17.25" thickBot="1" x14ac:dyDescent="0.25">
      <c r="A772" s="7"/>
      <c r="B772" s="7"/>
    </row>
    <row r="773" spans="1:2" ht="17.25" thickBot="1" x14ac:dyDescent="0.25">
      <c r="A773" s="7"/>
      <c r="B773" s="7"/>
    </row>
    <row r="774" spans="1:2" ht="17.25" thickBot="1" x14ac:dyDescent="0.25">
      <c r="A774" s="7"/>
      <c r="B774" s="7"/>
    </row>
    <row r="775" spans="1:2" ht="17.25" thickBot="1" x14ac:dyDescent="0.25">
      <c r="A775" s="7"/>
      <c r="B775" s="7"/>
    </row>
    <row r="776" spans="1:2" ht="17.25" thickBot="1" x14ac:dyDescent="0.25">
      <c r="A776" s="7"/>
      <c r="B776" s="7"/>
    </row>
    <row r="777" spans="1:2" ht="17.25" thickBot="1" x14ac:dyDescent="0.25">
      <c r="A777" s="7"/>
      <c r="B777" s="7"/>
    </row>
    <row r="778" spans="1:2" ht="17.25" thickBot="1" x14ac:dyDescent="0.25">
      <c r="A778" s="7"/>
      <c r="B778" s="7"/>
    </row>
    <row r="779" spans="1:2" ht="17.25" thickBot="1" x14ac:dyDescent="0.25">
      <c r="A779" s="7"/>
      <c r="B779" s="7"/>
    </row>
    <row r="780" spans="1:2" ht="17.25" thickBot="1" x14ac:dyDescent="0.25">
      <c r="A780" s="7"/>
      <c r="B780" s="7"/>
    </row>
    <row r="781" spans="1:2" ht="17.25" thickBot="1" x14ac:dyDescent="0.25">
      <c r="A781" s="7"/>
      <c r="B781" s="7"/>
    </row>
    <row r="782" spans="1:2" ht="17.25" thickBot="1" x14ac:dyDescent="0.25">
      <c r="A782" s="7"/>
      <c r="B782" s="7"/>
    </row>
    <row r="783" spans="1:2" ht="17.25" thickBot="1" x14ac:dyDescent="0.25">
      <c r="A783" s="7"/>
      <c r="B783" s="7"/>
    </row>
    <row r="784" spans="1:2" ht="17.25" thickBot="1" x14ac:dyDescent="0.25">
      <c r="A784" s="7"/>
      <c r="B784" s="7"/>
    </row>
    <row r="785" spans="1:2" ht="17.25" thickBot="1" x14ac:dyDescent="0.25">
      <c r="A785" s="7"/>
      <c r="B785" s="7"/>
    </row>
    <row r="786" spans="1:2" ht="17.25" thickBot="1" x14ac:dyDescent="0.25">
      <c r="A786" s="7"/>
      <c r="B786" s="7"/>
    </row>
    <row r="787" spans="1:2" ht="17.25" thickBot="1" x14ac:dyDescent="0.25">
      <c r="A787" s="7"/>
      <c r="B787" s="7"/>
    </row>
    <row r="788" spans="1:2" ht="17.25" thickBot="1" x14ac:dyDescent="0.25">
      <c r="A788" s="7"/>
      <c r="B788" s="7"/>
    </row>
    <row r="789" spans="1:2" ht="17.25" thickBot="1" x14ac:dyDescent="0.25">
      <c r="A789" s="7"/>
      <c r="B789" s="7"/>
    </row>
    <row r="790" spans="1:2" ht="17.25" thickBot="1" x14ac:dyDescent="0.25">
      <c r="A790" s="7"/>
      <c r="B790" s="7"/>
    </row>
    <row r="791" spans="1:2" ht="17.25" thickBot="1" x14ac:dyDescent="0.25">
      <c r="A791" s="7"/>
      <c r="B791" s="7"/>
    </row>
    <row r="792" spans="1:2" ht="17.25" thickBot="1" x14ac:dyDescent="0.25">
      <c r="A792" s="7"/>
      <c r="B792" s="7"/>
    </row>
    <row r="793" spans="1:2" ht="17.25" thickBot="1" x14ac:dyDescent="0.25">
      <c r="A793" s="7"/>
      <c r="B793" s="7"/>
    </row>
    <row r="794" spans="1:2" ht="17.25" thickBot="1" x14ac:dyDescent="0.25">
      <c r="A794" s="7"/>
      <c r="B794" s="7"/>
    </row>
    <row r="795" spans="1:2" ht="17.25" thickBot="1" x14ac:dyDescent="0.25">
      <c r="A795" s="7"/>
      <c r="B795" s="7"/>
    </row>
    <row r="796" spans="1:2" ht="17.25" thickBot="1" x14ac:dyDescent="0.25">
      <c r="A796" s="7"/>
      <c r="B796" s="7"/>
    </row>
    <row r="797" spans="1:2" ht="17.25" thickBot="1" x14ac:dyDescent="0.25">
      <c r="A797" s="7"/>
      <c r="B797" s="7"/>
    </row>
    <row r="798" spans="1:2" ht="17.25" thickBot="1" x14ac:dyDescent="0.25">
      <c r="A798" s="7"/>
      <c r="B798" s="7"/>
    </row>
    <row r="799" spans="1:2" ht="17.25" thickBot="1" x14ac:dyDescent="0.25">
      <c r="A799" s="7"/>
      <c r="B799" s="7"/>
    </row>
    <row r="800" spans="1:2" ht="17.25" thickBot="1" x14ac:dyDescent="0.25">
      <c r="A800" s="7"/>
      <c r="B800" s="7"/>
    </row>
    <row r="801" spans="1:2" ht="17.25" thickBot="1" x14ac:dyDescent="0.25">
      <c r="A801" s="7"/>
      <c r="B801" s="7"/>
    </row>
    <row r="802" spans="1:2" ht="17.25" thickBot="1" x14ac:dyDescent="0.25">
      <c r="A802" s="7"/>
      <c r="B802" s="7"/>
    </row>
    <row r="803" spans="1:2" ht="17.25" thickBot="1" x14ac:dyDescent="0.25">
      <c r="A803" s="7"/>
      <c r="B803" s="7"/>
    </row>
    <row r="804" spans="1:2" ht="17.25" thickBot="1" x14ac:dyDescent="0.25">
      <c r="A804" s="7"/>
      <c r="B804" s="7"/>
    </row>
    <row r="805" spans="1:2" ht="17.25" thickBot="1" x14ac:dyDescent="0.25">
      <c r="A805" s="7"/>
      <c r="B805" s="7"/>
    </row>
    <row r="806" spans="1:2" ht="17.25" thickBot="1" x14ac:dyDescent="0.25">
      <c r="A806" s="7"/>
      <c r="B806" s="7"/>
    </row>
    <row r="807" spans="1:2" ht="17.25" thickBot="1" x14ac:dyDescent="0.25">
      <c r="A807" s="7"/>
      <c r="B807" s="7"/>
    </row>
    <row r="808" spans="1:2" ht="17.25" thickBot="1" x14ac:dyDescent="0.25">
      <c r="A808" s="7"/>
      <c r="B808" s="7"/>
    </row>
    <row r="809" spans="1:2" ht="17.25" thickBot="1" x14ac:dyDescent="0.25">
      <c r="A809" s="7"/>
      <c r="B809" s="7"/>
    </row>
    <row r="810" spans="1:2" ht="17.25" thickBot="1" x14ac:dyDescent="0.25">
      <c r="A810" s="7"/>
      <c r="B810" s="7"/>
    </row>
    <row r="811" spans="1:2" ht="17.25" thickBot="1" x14ac:dyDescent="0.25">
      <c r="A811" s="7"/>
      <c r="B811" s="7"/>
    </row>
    <row r="812" spans="1:2" ht="17.25" thickBot="1" x14ac:dyDescent="0.25">
      <c r="A812" s="7"/>
      <c r="B812" s="7"/>
    </row>
    <row r="813" spans="1:2" ht="17.25" thickBot="1" x14ac:dyDescent="0.25">
      <c r="A813" s="7"/>
      <c r="B813" s="7"/>
    </row>
    <row r="814" spans="1:2" ht="17.25" thickBot="1" x14ac:dyDescent="0.25">
      <c r="A814" s="7"/>
      <c r="B814" s="7"/>
    </row>
    <row r="815" spans="1:2" ht="17.25" thickBot="1" x14ac:dyDescent="0.25">
      <c r="A815" s="7"/>
      <c r="B815" s="7"/>
    </row>
    <row r="816" spans="1:2" ht="17.25" thickBot="1" x14ac:dyDescent="0.25">
      <c r="A816" s="7"/>
      <c r="B816" s="7"/>
    </row>
    <row r="817" spans="1:2" ht="17.25" thickBot="1" x14ac:dyDescent="0.25">
      <c r="A817" s="7"/>
      <c r="B817" s="7"/>
    </row>
    <row r="818" spans="1:2" ht="17.25" thickBot="1" x14ac:dyDescent="0.25">
      <c r="A818" s="7"/>
      <c r="B818" s="7"/>
    </row>
    <row r="819" spans="1:2" ht="17.25" thickBot="1" x14ac:dyDescent="0.25">
      <c r="A819" s="7"/>
      <c r="B819" s="7"/>
    </row>
    <row r="820" spans="1:2" ht="17.25" thickBot="1" x14ac:dyDescent="0.25">
      <c r="A820" s="7"/>
      <c r="B820" s="7"/>
    </row>
    <row r="821" spans="1:2" ht="17.25" thickBot="1" x14ac:dyDescent="0.25">
      <c r="A821" s="7"/>
      <c r="B821" s="7"/>
    </row>
    <row r="822" spans="1:2" ht="17.25" thickBot="1" x14ac:dyDescent="0.25">
      <c r="A822" s="7"/>
      <c r="B822" s="7"/>
    </row>
    <row r="823" spans="1:2" ht="17.25" thickBot="1" x14ac:dyDescent="0.25">
      <c r="A823" s="7"/>
      <c r="B823" s="7"/>
    </row>
    <row r="824" spans="1:2" ht="17.25" thickBot="1" x14ac:dyDescent="0.25">
      <c r="A824" s="7"/>
      <c r="B824" s="7"/>
    </row>
    <row r="825" spans="1:2" ht="17.25" thickBot="1" x14ac:dyDescent="0.25">
      <c r="A825" s="7"/>
      <c r="B825" s="7"/>
    </row>
    <row r="826" spans="1:2" ht="17.25" thickBot="1" x14ac:dyDescent="0.25">
      <c r="A826" s="7"/>
      <c r="B826" s="7"/>
    </row>
    <row r="827" spans="1:2" ht="17.25" thickBot="1" x14ac:dyDescent="0.25">
      <c r="A827" s="7"/>
      <c r="B827" s="7"/>
    </row>
    <row r="828" spans="1:2" ht="17.25" thickBot="1" x14ac:dyDescent="0.25">
      <c r="A828" s="7"/>
      <c r="B828" s="7"/>
    </row>
    <row r="829" spans="1:2" ht="17.25" thickBot="1" x14ac:dyDescent="0.25">
      <c r="A829" s="7"/>
      <c r="B829" s="7"/>
    </row>
    <row r="830" spans="1:2" ht="17.25" thickBot="1" x14ac:dyDescent="0.25">
      <c r="A830" s="7"/>
      <c r="B830" s="7"/>
    </row>
    <row r="831" spans="1:2" ht="17.25" thickBot="1" x14ac:dyDescent="0.25">
      <c r="A831" s="7"/>
      <c r="B831" s="7"/>
    </row>
    <row r="832" spans="1:2" ht="17.25" thickBot="1" x14ac:dyDescent="0.25">
      <c r="A832" s="7"/>
      <c r="B832" s="7"/>
    </row>
    <row r="833" spans="1:2" ht="17.25" thickBot="1" x14ac:dyDescent="0.25">
      <c r="A833" s="7"/>
      <c r="B833" s="7"/>
    </row>
    <row r="834" spans="1:2" ht="17.25" thickBot="1" x14ac:dyDescent="0.25">
      <c r="A834" s="7"/>
      <c r="B834" s="7"/>
    </row>
    <row r="835" spans="1:2" ht="17.25" thickBot="1" x14ac:dyDescent="0.25">
      <c r="A835" s="7"/>
      <c r="B835" s="7"/>
    </row>
    <row r="836" spans="1:2" ht="17.25" thickBot="1" x14ac:dyDescent="0.25">
      <c r="A836" s="7"/>
      <c r="B836" s="7"/>
    </row>
    <row r="837" spans="1:2" ht="17.25" thickBot="1" x14ac:dyDescent="0.25">
      <c r="A837" s="7"/>
      <c r="B837" s="7"/>
    </row>
    <row r="838" spans="1:2" ht="17.25" thickBot="1" x14ac:dyDescent="0.25">
      <c r="A838" s="7"/>
      <c r="B838" s="7"/>
    </row>
    <row r="839" spans="1:2" ht="17.25" thickBot="1" x14ac:dyDescent="0.25">
      <c r="A839" s="7"/>
      <c r="B839" s="7"/>
    </row>
    <row r="840" spans="1:2" ht="17.25" thickBot="1" x14ac:dyDescent="0.25">
      <c r="A840" s="7"/>
      <c r="B840" s="7"/>
    </row>
    <row r="841" spans="1:2" ht="17.25" thickBot="1" x14ac:dyDescent="0.25">
      <c r="A841" s="7"/>
      <c r="B841" s="7"/>
    </row>
    <row r="842" spans="1:2" ht="17.25" thickBot="1" x14ac:dyDescent="0.25">
      <c r="A842" s="7"/>
      <c r="B842" s="7"/>
    </row>
    <row r="843" spans="1:2" ht="17.25" thickBot="1" x14ac:dyDescent="0.25">
      <c r="A843" s="7"/>
      <c r="B843" s="7"/>
    </row>
    <row r="844" spans="1:2" ht="17.25" thickBot="1" x14ac:dyDescent="0.25">
      <c r="A844" s="7"/>
      <c r="B844" s="7"/>
    </row>
    <row r="845" spans="1:2" ht="17.25" thickBot="1" x14ac:dyDescent="0.25">
      <c r="A845" s="7"/>
      <c r="B845" s="7"/>
    </row>
    <row r="846" spans="1:2" ht="17.25" thickBot="1" x14ac:dyDescent="0.25">
      <c r="A846" s="7"/>
      <c r="B846" s="7"/>
    </row>
    <row r="847" spans="1:2" ht="17.25" thickBot="1" x14ac:dyDescent="0.25">
      <c r="A847" s="7"/>
      <c r="B847" s="7"/>
    </row>
    <row r="848" spans="1:2" ht="17.25" thickBot="1" x14ac:dyDescent="0.25">
      <c r="A848" s="7"/>
      <c r="B848" s="7"/>
    </row>
    <row r="849" spans="1:2" ht="17.25" thickBot="1" x14ac:dyDescent="0.25">
      <c r="A849" s="7"/>
      <c r="B849" s="7"/>
    </row>
    <row r="850" spans="1:2" ht="17.25" thickBot="1" x14ac:dyDescent="0.25">
      <c r="A850" s="7"/>
      <c r="B850" s="7"/>
    </row>
    <row r="851" spans="1:2" ht="17.25" thickBot="1" x14ac:dyDescent="0.25">
      <c r="A851" s="7"/>
      <c r="B851" s="7"/>
    </row>
    <row r="852" spans="1:2" ht="17.25" thickBot="1" x14ac:dyDescent="0.25">
      <c r="A852" s="7"/>
      <c r="B852" s="7"/>
    </row>
    <row r="853" spans="1:2" ht="17.25" thickBot="1" x14ac:dyDescent="0.25">
      <c r="A853" s="7"/>
      <c r="B853" s="7"/>
    </row>
    <row r="854" spans="1:2" ht="17.25" thickBot="1" x14ac:dyDescent="0.25">
      <c r="A854" s="7"/>
      <c r="B854" s="7"/>
    </row>
    <row r="855" spans="1:2" ht="17.25" thickBot="1" x14ac:dyDescent="0.25">
      <c r="A855" s="7"/>
      <c r="B855" s="7"/>
    </row>
    <row r="856" spans="1:2" ht="17.25" thickBot="1" x14ac:dyDescent="0.25">
      <c r="A856" s="7"/>
      <c r="B856" s="7"/>
    </row>
    <row r="857" spans="1:2" ht="17.25" thickBot="1" x14ac:dyDescent="0.25">
      <c r="A857" s="7"/>
      <c r="B857" s="7"/>
    </row>
    <row r="858" spans="1:2" ht="17.25" thickBot="1" x14ac:dyDescent="0.25">
      <c r="A858" s="7"/>
      <c r="B858" s="7"/>
    </row>
    <row r="859" spans="1:2" ht="17.25" thickBot="1" x14ac:dyDescent="0.25">
      <c r="A859" s="7"/>
      <c r="B859" s="7"/>
    </row>
    <row r="860" spans="1:2" ht="17.25" thickBot="1" x14ac:dyDescent="0.25">
      <c r="A860" s="7"/>
      <c r="B860" s="7"/>
    </row>
    <row r="861" spans="1:2" ht="17.25" thickBot="1" x14ac:dyDescent="0.25">
      <c r="A861" s="7"/>
      <c r="B861" s="7"/>
    </row>
    <row r="862" spans="1:2" ht="17.25" thickBot="1" x14ac:dyDescent="0.25">
      <c r="A862" s="7"/>
      <c r="B862" s="7"/>
    </row>
    <row r="863" spans="1:2" ht="17.25" thickBot="1" x14ac:dyDescent="0.25">
      <c r="A863" s="7"/>
      <c r="B863" s="7"/>
    </row>
    <row r="864" spans="1:2" ht="17.25" thickBot="1" x14ac:dyDescent="0.25">
      <c r="A864" s="7"/>
      <c r="B864" s="7"/>
    </row>
    <row r="865" spans="1:2" ht="17.25" thickBot="1" x14ac:dyDescent="0.25">
      <c r="A865" s="7"/>
      <c r="B865" s="7"/>
    </row>
    <row r="866" spans="1:2" ht="17.25" thickBot="1" x14ac:dyDescent="0.25">
      <c r="A866" s="7"/>
      <c r="B866" s="7"/>
    </row>
    <row r="867" spans="1:2" ht="17.25" thickBot="1" x14ac:dyDescent="0.25">
      <c r="A867" s="7"/>
      <c r="B867" s="7"/>
    </row>
    <row r="868" spans="1:2" ht="17.25" thickBot="1" x14ac:dyDescent="0.25">
      <c r="A868" s="7"/>
      <c r="B868" s="7"/>
    </row>
    <row r="869" spans="1:2" ht="17.25" thickBot="1" x14ac:dyDescent="0.25">
      <c r="A869" s="7"/>
      <c r="B869" s="7"/>
    </row>
    <row r="870" spans="1:2" ht="17.25" thickBot="1" x14ac:dyDescent="0.25">
      <c r="A870" s="7"/>
      <c r="B870" s="7"/>
    </row>
    <row r="871" spans="1:2" ht="17.25" thickBot="1" x14ac:dyDescent="0.25">
      <c r="A871" s="7"/>
      <c r="B871" s="7"/>
    </row>
    <row r="872" spans="1:2" ht="17.25" thickBot="1" x14ac:dyDescent="0.25">
      <c r="A872" s="7"/>
      <c r="B872" s="7"/>
    </row>
    <row r="873" spans="1:2" ht="17.25" thickBot="1" x14ac:dyDescent="0.25">
      <c r="A873" s="7"/>
      <c r="B873" s="7"/>
    </row>
    <row r="874" spans="1:2" ht="17.25" thickBot="1" x14ac:dyDescent="0.25">
      <c r="A874" s="7"/>
      <c r="B874" s="7"/>
    </row>
    <row r="875" spans="1:2" ht="17.25" thickBot="1" x14ac:dyDescent="0.25">
      <c r="A875" s="7"/>
      <c r="B875" s="7"/>
    </row>
    <row r="876" spans="1:2" ht="17.25" thickBot="1" x14ac:dyDescent="0.25">
      <c r="A876" s="7"/>
      <c r="B876" s="7"/>
    </row>
    <row r="877" spans="1:2" ht="17.25" thickBot="1" x14ac:dyDescent="0.25">
      <c r="A877" s="7"/>
      <c r="B877" s="7"/>
    </row>
    <row r="878" spans="1:2" ht="17.25" thickBot="1" x14ac:dyDescent="0.25">
      <c r="A878" s="7"/>
      <c r="B878" s="7"/>
    </row>
    <row r="879" spans="1:2" ht="17.25" thickBot="1" x14ac:dyDescent="0.25">
      <c r="A879" s="7"/>
      <c r="B879" s="7"/>
    </row>
    <row r="880" spans="1:2" ht="17.25" thickBot="1" x14ac:dyDescent="0.25">
      <c r="A880" s="7"/>
      <c r="B880" s="7"/>
    </row>
    <row r="881" spans="1:2" ht="17.25" thickBot="1" x14ac:dyDescent="0.25">
      <c r="A881" s="7"/>
      <c r="B881" s="7"/>
    </row>
    <row r="882" spans="1:2" ht="17.25" thickBot="1" x14ac:dyDescent="0.25">
      <c r="A882" s="7"/>
      <c r="B882" s="7"/>
    </row>
    <row r="883" spans="1:2" ht="17.25" thickBot="1" x14ac:dyDescent="0.25">
      <c r="A883" s="7"/>
      <c r="B883" s="7"/>
    </row>
    <row r="884" spans="1:2" ht="17.25" thickBot="1" x14ac:dyDescent="0.25">
      <c r="A884" s="7"/>
      <c r="B884" s="7"/>
    </row>
    <row r="885" spans="1:2" ht="17.25" thickBot="1" x14ac:dyDescent="0.25">
      <c r="A885" s="7"/>
      <c r="B885" s="7"/>
    </row>
    <row r="886" spans="1:2" ht="17.25" thickBot="1" x14ac:dyDescent="0.25">
      <c r="A886" s="7"/>
      <c r="B886" s="7"/>
    </row>
    <row r="887" spans="1:2" ht="17.25" thickBot="1" x14ac:dyDescent="0.25">
      <c r="A887" s="7"/>
      <c r="B887" s="7"/>
    </row>
    <row r="888" spans="1:2" ht="17.25" thickBot="1" x14ac:dyDescent="0.25">
      <c r="A888" s="7"/>
      <c r="B888" s="7"/>
    </row>
    <row r="889" spans="1:2" ht="17.25" thickBot="1" x14ac:dyDescent="0.25">
      <c r="A889" s="7"/>
      <c r="B889" s="7"/>
    </row>
    <row r="890" spans="1:2" ht="17.25" thickBot="1" x14ac:dyDescent="0.25">
      <c r="A890" s="7"/>
      <c r="B890" s="7"/>
    </row>
    <row r="891" spans="1:2" ht="17.25" thickBot="1" x14ac:dyDescent="0.25">
      <c r="A891" s="7"/>
      <c r="B891" s="7"/>
    </row>
    <row r="892" spans="1:2" ht="17.25" thickBot="1" x14ac:dyDescent="0.25">
      <c r="A892" s="7"/>
      <c r="B892" s="7"/>
    </row>
    <row r="893" spans="1:2" ht="17.25" thickBot="1" x14ac:dyDescent="0.25">
      <c r="A893" s="7"/>
      <c r="B893" s="7"/>
    </row>
    <row r="894" spans="1:2" ht="17.25" thickBot="1" x14ac:dyDescent="0.25">
      <c r="A894" s="7"/>
      <c r="B894" s="7"/>
    </row>
    <row r="895" spans="1:2" ht="17.25" thickBot="1" x14ac:dyDescent="0.25">
      <c r="A895" s="7"/>
      <c r="B895" s="7"/>
    </row>
    <row r="896" spans="1:2" ht="17.25" thickBot="1" x14ac:dyDescent="0.25">
      <c r="A896" s="7"/>
      <c r="B896" s="7"/>
    </row>
    <row r="897" spans="1:2" ht="17.25" thickBot="1" x14ac:dyDescent="0.25">
      <c r="A897" s="7"/>
      <c r="B897" s="7"/>
    </row>
    <row r="898" spans="1:2" ht="17.25" thickBot="1" x14ac:dyDescent="0.25">
      <c r="A898" s="7"/>
      <c r="B898" s="7"/>
    </row>
    <row r="899" spans="1:2" ht="17.25" thickBot="1" x14ac:dyDescent="0.25">
      <c r="A899" s="7"/>
      <c r="B899" s="7"/>
    </row>
    <row r="900" spans="1:2" ht="17.25" thickBot="1" x14ac:dyDescent="0.25">
      <c r="A900" s="7"/>
      <c r="B900" s="7"/>
    </row>
    <row r="901" spans="1:2" ht="17.25" thickBot="1" x14ac:dyDescent="0.25">
      <c r="A901" s="7"/>
      <c r="B901" s="7"/>
    </row>
    <row r="902" spans="1:2" ht="17.25" thickBot="1" x14ac:dyDescent="0.25">
      <c r="A902" s="7"/>
      <c r="B902" s="7"/>
    </row>
    <row r="903" spans="1:2" ht="17.25" thickBot="1" x14ac:dyDescent="0.25">
      <c r="A903" s="7"/>
      <c r="B903" s="7"/>
    </row>
    <row r="904" spans="1:2" ht="17.25" thickBot="1" x14ac:dyDescent="0.25">
      <c r="A904" s="7"/>
      <c r="B904" s="7"/>
    </row>
    <row r="905" spans="1:2" ht="17.25" thickBot="1" x14ac:dyDescent="0.25">
      <c r="A905" s="7"/>
      <c r="B905" s="7"/>
    </row>
    <row r="906" spans="1:2" ht="17.25" thickBot="1" x14ac:dyDescent="0.25">
      <c r="A906" s="7"/>
      <c r="B906" s="7"/>
    </row>
    <row r="907" spans="1:2" ht="17.25" thickBot="1" x14ac:dyDescent="0.25">
      <c r="A907" s="7"/>
      <c r="B907" s="7"/>
    </row>
    <row r="908" spans="1:2" ht="17.25" thickBot="1" x14ac:dyDescent="0.25">
      <c r="A908" s="7"/>
      <c r="B908" s="7"/>
    </row>
    <row r="909" spans="1:2" ht="17.25" thickBot="1" x14ac:dyDescent="0.25">
      <c r="A909" s="7"/>
      <c r="B909" s="7"/>
    </row>
    <row r="910" spans="1:2" ht="17.25" thickBot="1" x14ac:dyDescent="0.25">
      <c r="A910" s="7"/>
      <c r="B910" s="7"/>
    </row>
    <row r="911" spans="1:2" ht="17.25" thickBot="1" x14ac:dyDescent="0.25">
      <c r="A911" s="7"/>
      <c r="B911" s="7"/>
    </row>
    <row r="912" spans="1:2" ht="17.25" thickBot="1" x14ac:dyDescent="0.25">
      <c r="A912" s="7"/>
      <c r="B912" s="7"/>
    </row>
    <row r="913" spans="1:2" ht="17.25" thickBot="1" x14ac:dyDescent="0.25">
      <c r="A913" s="7"/>
      <c r="B913" s="7"/>
    </row>
    <row r="914" spans="1:2" ht="17.25" thickBot="1" x14ac:dyDescent="0.25">
      <c r="A914" s="7"/>
      <c r="B914" s="7"/>
    </row>
    <row r="915" spans="1:2" ht="17.25" thickBot="1" x14ac:dyDescent="0.25">
      <c r="A915" s="7"/>
      <c r="B915" s="7"/>
    </row>
    <row r="916" spans="1:2" ht="17.25" thickBot="1" x14ac:dyDescent="0.25">
      <c r="A916" s="7"/>
      <c r="B916" s="7"/>
    </row>
    <row r="917" spans="1:2" ht="17.25" thickBot="1" x14ac:dyDescent="0.25">
      <c r="A917" s="7"/>
      <c r="B917" s="7"/>
    </row>
    <row r="918" spans="1:2" ht="17.25" thickBot="1" x14ac:dyDescent="0.25">
      <c r="A918" s="7"/>
      <c r="B918" s="7"/>
    </row>
    <row r="919" spans="1:2" ht="17.25" thickBot="1" x14ac:dyDescent="0.25">
      <c r="A919" s="7"/>
      <c r="B919" s="7"/>
    </row>
    <row r="920" spans="1:2" ht="17.25" thickBot="1" x14ac:dyDescent="0.25">
      <c r="A920" s="7"/>
      <c r="B920" s="7"/>
    </row>
    <row r="921" spans="1:2" ht="17.25" thickBot="1" x14ac:dyDescent="0.25">
      <c r="A921" s="7"/>
      <c r="B921" s="7"/>
    </row>
    <row r="922" spans="1:2" ht="17.25" thickBot="1" x14ac:dyDescent="0.25">
      <c r="A922" s="7"/>
      <c r="B922" s="7"/>
    </row>
    <row r="923" spans="1:2" ht="17.25" thickBot="1" x14ac:dyDescent="0.25">
      <c r="A923" s="7"/>
      <c r="B923" s="7"/>
    </row>
    <row r="924" spans="1:2" ht="17.25" thickBot="1" x14ac:dyDescent="0.25">
      <c r="A924" s="7"/>
      <c r="B924" s="7"/>
    </row>
    <row r="925" spans="1:2" ht="17.25" thickBot="1" x14ac:dyDescent="0.25">
      <c r="A925" s="7"/>
      <c r="B925" s="7"/>
    </row>
    <row r="926" spans="1:2" ht="17.25" thickBot="1" x14ac:dyDescent="0.25">
      <c r="A926" s="7"/>
      <c r="B926" s="7"/>
    </row>
    <row r="927" spans="1:2" ht="17.25" thickBot="1" x14ac:dyDescent="0.25">
      <c r="A927" s="7"/>
      <c r="B927" s="7"/>
    </row>
    <row r="928" spans="1:2" ht="17.25" thickBot="1" x14ac:dyDescent="0.25">
      <c r="A928" s="7"/>
      <c r="B928" s="7"/>
    </row>
    <row r="929" spans="1:2" ht="17.25" thickBot="1" x14ac:dyDescent="0.25">
      <c r="A929" s="7"/>
      <c r="B929" s="7"/>
    </row>
    <row r="930" spans="1:2" ht="17.25" thickBot="1" x14ac:dyDescent="0.25">
      <c r="A930" s="7"/>
      <c r="B930" s="7"/>
    </row>
    <row r="931" spans="1:2" ht="17.25" thickBot="1" x14ac:dyDescent="0.25">
      <c r="A931" s="7"/>
      <c r="B931" s="7"/>
    </row>
    <row r="932" spans="1:2" ht="17.25" thickBot="1" x14ac:dyDescent="0.25">
      <c r="A932" s="7"/>
      <c r="B932" s="7"/>
    </row>
    <row r="933" spans="1:2" ht="17.25" thickBot="1" x14ac:dyDescent="0.25">
      <c r="A933" s="7"/>
      <c r="B933" s="7"/>
    </row>
    <row r="934" spans="1:2" ht="17.25" thickBot="1" x14ac:dyDescent="0.25">
      <c r="A934" s="7"/>
      <c r="B934" s="7"/>
    </row>
    <row r="935" spans="1:2" ht="17.25" thickBot="1" x14ac:dyDescent="0.25">
      <c r="A935" s="7"/>
      <c r="B935" s="7"/>
    </row>
    <row r="936" spans="1:2" ht="17.25" thickBot="1" x14ac:dyDescent="0.25">
      <c r="A936" s="7"/>
      <c r="B936" s="7"/>
    </row>
    <row r="937" spans="1:2" ht="17.25" thickBot="1" x14ac:dyDescent="0.25">
      <c r="A937" s="7"/>
      <c r="B937" s="7"/>
    </row>
    <row r="938" spans="1:2" ht="17.25" thickBot="1" x14ac:dyDescent="0.25">
      <c r="A938" s="7"/>
      <c r="B938" s="7"/>
    </row>
    <row r="939" spans="1:2" ht="17.25" thickBot="1" x14ac:dyDescent="0.25">
      <c r="A939" s="7"/>
      <c r="B939" s="7"/>
    </row>
    <row r="940" spans="1:2" ht="17.25" thickBot="1" x14ac:dyDescent="0.25">
      <c r="A940" s="7"/>
      <c r="B940" s="7"/>
    </row>
    <row r="941" spans="1:2" ht="17.25" thickBot="1" x14ac:dyDescent="0.25">
      <c r="A941" s="7"/>
      <c r="B941" s="7"/>
    </row>
    <row r="942" spans="1:2" ht="17.25" thickBot="1" x14ac:dyDescent="0.25">
      <c r="A942" s="7"/>
      <c r="B942" s="7"/>
    </row>
    <row r="943" spans="1:2" ht="17.25" thickBot="1" x14ac:dyDescent="0.25">
      <c r="A943" s="7"/>
      <c r="B943" s="7"/>
    </row>
    <row r="944" spans="1:2" ht="17.25" thickBot="1" x14ac:dyDescent="0.25">
      <c r="A944" s="7"/>
      <c r="B944" s="7"/>
    </row>
    <row r="945" spans="1:2" ht="17.25" thickBot="1" x14ac:dyDescent="0.25">
      <c r="A945" s="7"/>
      <c r="B945" s="7"/>
    </row>
    <row r="946" spans="1:2" ht="17.25" thickBot="1" x14ac:dyDescent="0.25">
      <c r="A946" s="7"/>
      <c r="B946" s="7"/>
    </row>
    <row r="947" spans="1:2" ht="17.25" thickBot="1" x14ac:dyDescent="0.25">
      <c r="A947" s="7"/>
      <c r="B947" s="7"/>
    </row>
    <row r="948" spans="1:2" ht="17.25" thickBot="1" x14ac:dyDescent="0.25">
      <c r="A948" s="7"/>
      <c r="B948" s="7"/>
    </row>
    <row r="949" spans="1:2" ht="17.25" thickBot="1" x14ac:dyDescent="0.25">
      <c r="A949" s="7"/>
      <c r="B949" s="7"/>
    </row>
    <row r="950" spans="1:2" ht="17.25" thickBot="1" x14ac:dyDescent="0.25">
      <c r="A950" s="7"/>
      <c r="B950" s="7"/>
    </row>
    <row r="951" spans="1:2" ht="17.25" thickBot="1" x14ac:dyDescent="0.25">
      <c r="A951" s="7"/>
      <c r="B951" s="7"/>
    </row>
    <row r="952" spans="1:2" ht="17.25" thickBot="1" x14ac:dyDescent="0.25">
      <c r="A952" s="7"/>
      <c r="B952" s="7"/>
    </row>
    <row r="953" spans="1:2" ht="17.25" thickBot="1" x14ac:dyDescent="0.25">
      <c r="A953" s="7"/>
      <c r="B953" s="7"/>
    </row>
    <row r="954" spans="1:2" ht="17.25" thickBot="1" x14ac:dyDescent="0.25">
      <c r="A954" s="7"/>
      <c r="B954" s="7"/>
    </row>
    <row r="955" spans="1:2" ht="17.25" thickBot="1" x14ac:dyDescent="0.25">
      <c r="A955" s="7"/>
      <c r="B955" s="7"/>
    </row>
    <row r="956" spans="1:2" ht="17.25" thickBot="1" x14ac:dyDescent="0.25">
      <c r="A956" s="7"/>
      <c r="B956" s="7"/>
    </row>
    <row r="957" spans="1:2" ht="17.25" thickBot="1" x14ac:dyDescent="0.25">
      <c r="A957" s="7"/>
      <c r="B957" s="7"/>
    </row>
    <row r="958" spans="1:2" ht="17.25" thickBot="1" x14ac:dyDescent="0.25">
      <c r="A958" s="7"/>
      <c r="B958" s="7"/>
    </row>
    <row r="959" spans="1:2" ht="17.25" thickBot="1" x14ac:dyDescent="0.25">
      <c r="A959" s="7"/>
      <c r="B959" s="7"/>
    </row>
    <row r="960" spans="1:2" ht="17.25" thickBot="1" x14ac:dyDescent="0.25">
      <c r="A960" s="7"/>
      <c r="B960" s="7"/>
    </row>
    <row r="961" spans="1:2" ht="17.25" thickBot="1" x14ac:dyDescent="0.25">
      <c r="A961" s="7"/>
      <c r="B961" s="7"/>
    </row>
    <row r="962" spans="1:2" ht="17.25" thickBot="1" x14ac:dyDescent="0.25">
      <c r="A962" s="7"/>
      <c r="B962" s="7"/>
    </row>
    <row r="963" spans="1:2" ht="17.25" thickBot="1" x14ac:dyDescent="0.25">
      <c r="A963" s="7"/>
      <c r="B963" s="7"/>
    </row>
    <row r="964" spans="1:2" ht="17.25" thickBot="1" x14ac:dyDescent="0.25">
      <c r="A964" s="7"/>
      <c r="B964" s="7"/>
    </row>
    <row r="965" spans="1:2" ht="17.25" thickBot="1" x14ac:dyDescent="0.25">
      <c r="A965" s="7"/>
      <c r="B965" s="7"/>
    </row>
    <row r="966" spans="1:2" ht="17.25" thickBot="1" x14ac:dyDescent="0.25">
      <c r="A966" s="7"/>
      <c r="B966" s="7"/>
    </row>
    <row r="967" spans="1:2" ht="17.25" thickBot="1" x14ac:dyDescent="0.25">
      <c r="A967" s="7"/>
      <c r="B967" s="7"/>
    </row>
    <row r="968" spans="1:2" ht="17.25" thickBot="1" x14ac:dyDescent="0.25">
      <c r="A968" s="7"/>
      <c r="B968" s="7"/>
    </row>
    <row r="969" spans="1:2" ht="17.25" thickBot="1" x14ac:dyDescent="0.25">
      <c r="A969" s="7"/>
      <c r="B969" s="7"/>
    </row>
    <row r="970" spans="1:2" ht="17.25" thickBot="1" x14ac:dyDescent="0.25">
      <c r="A970" s="7"/>
      <c r="B970" s="7"/>
    </row>
    <row r="971" spans="1:2" ht="17.25" thickBot="1" x14ac:dyDescent="0.25">
      <c r="A971" s="7"/>
      <c r="B971" s="7"/>
    </row>
    <row r="972" spans="1:2" ht="17.25" thickBot="1" x14ac:dyDescent="0.25">
      <c r="A972" s="7"/>
      <c r="B972" s="7"/>
    </row>
    <row r="973" spans="1:2" ht="17.25" thickBot="1" x14ac:dyDescent="0.25">
      <c r="A973" s="7"/>
      <c r="B973" s="7"/>
    </row>
    <row r="974" spans="1:2" ht="17.25" thickBot="1" x14ac:dyDescent="0.25">
      <c r="A974" s="7"/>
      <c r="B974" s="7"/>
    </row>
    <row r="975" spans="1:2" ht="17.25" thickBot="1" x14ac:dyDescent="0.25">
      <c r="A975" s="7"/>
      <c r="B975" s="7"/>
    </row>
    <row r="976" spans="1:2" ht="17.25" thickBot="1" x14ac:dyDescent="0.25">
      <c r="A976" s="7"/>
      <c r="B976" s="7"/>
    </row>
    <row r="977" spans="1:2" ht="17.25" thickBot="1" x14ac:dyDescent="0.25">
      <c r="A977" s="7"/>
      <c r="B977" s="7"/>
    </row>
    <row r="978" spans="1:2" ht="17.25" thickBot="1" x14ac:dyDescent="0.25">
      <c r="A978" s="7"/>
      <c r="B978" s="7"/>
    </row>
    <row r="979" spans="1:2" ht="17.25" thickBot="1" x14ac:dyDescent="0.25">
      <c r="A979" s="7"/>
      <c r="B979" s="7"/>
    </row>
    <row r="980" spans="1:2" ht="17.25" thickBot="1" x14ac:dyDescent="0.25">
      <c r="A980" s="7"/>
      <c r="B980" s="7"/>
    </row>
    <row r="981" spans="1:2" ht="17.25" thickBot="1" x14ac:dyDescent="0.25">
      <c r="A981" s="7"/>
      <c r="B981" s="7"/>
    </row>
    <row r="982" spans="1:2" ht="17.25" thickBot="1" x14ac:dyDescent="0.25">
      <c r="A982" s="7"/>
      <c r="B982" s="7"/>
    </row>
    <row r="983" spans="1:2" ht="17.25" thickBot="1" x14ac:dyDescent="0.25">
      <c r="A983" s="7"/>
      <c r="B983" s="7"/>
    </row>
    <row r="984" spans="1:2" ht="17.25" thickBot="1" x14ac:dyDescent="0.25">
      <c r="A984" s="7"/>
      <c r="B984" s="7"/>
    </row>
    <row r="985" spans="1:2" ht="17.25" thickBot="1" x14ac:dyDescent="0.25">
      <c r="A985" s="7"/>
      <c r="B985" s="7"/>
    </row>
    <row r="986" spans="1:2" ht="17.25" thickBot="1" x14ac:dyDescent="0.25">
      <c r="A986" s="7"/>
      <c r="B986" s="7"/>
    </row>
    <row r="987" spans="1:2" ht="17.25" thickBot="1" x14ac:dyDescent="0.25">
      <c r="A987" s="7"/>
      <c r="B987" s="7"/>
    </row>
    <row r="988" spans="1:2" ht="17.25" thickBot="1" x14ac:dyDescent="0.25">
      <c r="A988" s="7"/>
      <c r="B988" s="7"/>
    </row>
    <row r="989" spans="1:2" ht="17.25" thickBot="1" x14ac:dyDescent="0.25">
      <c r="A989" s="7"/>
      <c r="B989" s="7"/>
    </row>
    <row r="990" spans="1:2" ht="17.25" thickBot="1" x14ac:dyDescent="0.25">
      <c r="A990" s="7"/>
      <c r="B990" s="7"/>
    </row>
    <row r="991" spans="1:2" ht="17.25" thickBot="1" x14ac:dyDescent="0.25">
      <c r="A991" s="7"/>
      <c r="B991" s="7"/>
    </row>
    <row r="992" spans="1:2" ht="17.25" thickBot="1" x14ac:dyDescent="0.25">
      <c r="A992" s="7"/>
      <c r="B992" s="7"/>
    </row>
    <row r="993" spans="1:2" ht="17.25" thickBot="1" x14ac:dyDescent="0.25">
      <c r="A993" s="7"/>
      <c r="B993" s="7"/>
    </row>
    <row r="994" spans="1:2" ht="17.25" thickBot="1" x14ac:dyDescent="0.25">
      <c r="A994" s="7"/>
      <c r="B994" s="7"/>
    </row>
    <row r="995" spans="1:2" ht="17.25" thickBot="1" x14ac:dyDescent="0.25">
      <c r="A995" s="7"/>
      <c r="B995" s="7"/>
    </row>
    <row r="996" spans="1:2" ht="17.25" thickBot="1" x14ac:dyDescent="0.25">
      <c r="A996" s="7"/>
      <c r="B996" s="7"/>
    </row>
    <row r="997" spans="1:2" ht="17.25" thickBot="1" x14ac:dyDescent="0.25">
      <c r="A997" s="7"/>
      <c r="B997" s="7"/>
    </row>
    <row r="998" spans="1:2" ht="17.25" thickBot="1" x14ac:dyDescent="0.25">
      <c r="A998" s="7"/>
      <c r="B998" s="7"/>
    </row>
    <row r="999" spans="1:2" ht="17.25" thickBot="1" x14ac:dyDescent="0.25">
      <c r="A999" s="7"/>
      <c r="B999" s="7"/>
    </row>
    <row r="1000" spans="1:2" ht="17.25" thickBot="1" x14ac:dyDescent="0.25">
      <c r="A1000" s="7"/>
      <c r="B1000" s="7"/>
    </row>
    <row r="1001" spans="1:2" ht="17.25" thickBot="1" x14ac:dyDescent="0.25">
      <c r="A1001" s="7"/>
      <c r="B1001" s="7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 K</dc:creator>
  <cp:lastModifiedBy>Gun K</cp:lastModifiedBy>
  <dcterms:created xsi:type="dcterms:W3CDTF">2026-02-24T07:51:21Z</dcterms:created>
  <dcterms:modified xsi:type="dcterms:W3CDTF">2026-02-24T12:50:49Z</dcterms:modified>
</cp:coreProperties>
</file>